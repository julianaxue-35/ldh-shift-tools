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'Sheet1'!$A$1:$U$48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m"/>
    <numFmt numFmtId="165" formatCode="0.##"/>
  </numFmts>
  <fonts count="13">
    <font>
      <name val="Calibri"/>
      <family val="2"/>
      <color theme="1"/>
      <sz val="11"/>
      <scheme val="minor"/>
    </font>
    <font>
      <sz val="18"/>
    </font>
    <font>
      <sz val="11"/>
    </font>
    <font>
      <b val="1"/>
      <sz val="11"/>
    </font>
    <font>
      <i val="1"/>
      <sz val="9"/>
    </font>
    <font>
      <b val="1"/>
      <sz val="10"/>
    </font>
    <font>
      <b val="1"/>
      <color rgb="009C0006"/>
      <sz val="8"/>
    </font>
    <font>
      <sz val="9"/>
    </font>
    <font>
      <sz val="16"/>
    </font>
    <font>
      <sz val="8"/>
    </font>
    <font>
      <i val="1"/>
      <color rgb="001F4E78"/>
      <sz val="8"/>
    </font>
    <font>
      <sz val="10"/>
    </font>
    <font>
      <b val="1"/>
      <sz val="12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medium"/>
      <bottom style="thin"/>
    </border>
    <border>
      <left style="thin"/>
      <right style="thin"/>
      <top style="medium"/>
      <bottom style="medium"/>
    </border>
    <border>
      <left style="medium"/>
      <right style="thin"/>
      <top style="medium"/>
      <bottom style="medium"/>
    </border>
    <border>
      <left style="thin"/>
      <right style="medium"/>
      <top style="medium"/>
      <bottom style="medium"/>
    </border>
    <border>
      <left style="thin"/>
      <right style="thin"/>
      <top style="thin"/>
      <bottom style="medium"/>
    </border>
    <border>
      <left style="medium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medium"/>
      <top style="thin"/>
      <bottom style="medium"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  <border>
      <left/>
      <right/>
      <top style="medium"/>
      <bottom style="medium"/>
      <diagonal/>
    </border>
    <border>
      <left/>
      <right style="thin"/>
      <top style="medium"/>
      <bottom style="medium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medium"/>
    </border>
    <border>
      <left/>
      <right/>
      <top style="medium"/>
      <bottom style="medium"/>
    </border>
    <border>
      <left/>
      <right style="thin"/>
      <top style="medium"/>
      <bottom style="medium"/>
    </border>
    <border>
      <left/>
      <right style="medium"/>
      <top style="medium"/>
      <bottom style="medium"/>
    </border>
    <border>
      <left style="medium"/>
      <right style="thin"/>
      <top/>
      <bottom style="thin"/>
    </border>
    <border>
      <left style="medium"/>
      <right style="thin"/>
      <top/>
      <bottom style="medium"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 style="medium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3" fillId="0" borderId="7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16" pivotButton="0" quotePrefix="0" xfId="0"/>
    <xf numFmtId="0" fontId="2" fillId="0" borderId="9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4" fillId="0" borderId="9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0" pivotButton="0" quotePrefix="0" xfId="0"/>
    <xf numFmtId="0" fontId="6" fillId="0" borderId="9" applyAlignment="1" pivotButton="0" quotePrefix="0" xfId="0">
      <alignment horizontal="left" vertical="top" wrapText="1"/>
    </xf>
    <xf numFmtId="0" fontId="2" fillId="0" borderId="9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0" fillId="0" borderId="21" pivotButton="0" quotePrefix="0" xfId="0"/>
    <xf numFmtId="0" fontId="0" fillId="0" borderId="22" pivotButton="0" quotePrefix="0" xfId="0"/>
    <xf numFmtId="0" fontId="3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7" fillId="0" borderId="4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164" fontId="5" fillId="0" borderId="7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0" fillId="0" borderId="7" pivotButton="0" quotePrefix="0" xfId="0"/>
    <xf numFmtId="0" fontId="8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8" pivotButton="0" quotePrefix="0" xfId="0"/>
    <xf numFmtId="0" fontId="0" fillId="0" borderId="32" pivotButton="0" quotePrefix="0" xfId="0"/>
    <xf numFmtId="0" fontId="0" fillId="0" borderId="9" pivotButton="0" quotePrefix="0" xfId="0"/>
    <xf numFmtId="0" fontId="8" fillId="0" borderId="1" applyAlignment="1" pivotButton="0" quotePrefix="0" xfId="0">
      <alignment horizontal="center" vertical="center" wrapText="1"/>
    </xf>
    <xf numFmtId="0" fontId="0" fillId="0" borderId="33" pivotButton="0" quotePrefix="0" xfId="0"/>
    <xf numFmtId="0" fontId="0" fillId="0" borderId="11" pivotButton="0" quotePrefix="0" xfId="0"/>
    <xf numFmtId="0" fontId="8" fillId="0" borderId="6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12" pivotButton="0" quotePrefix="0" xfId="0"/>
    <xf numFmtId="0" fontId="9" fillId="0" borderId="0" applyAlignment="1" pivotButton="0" quotePrefix="0" xfId="0">
      <alignment horizontal="right"/>
    </xf>
    <xf numFmtId="0" fontId="9" fillId="0" borderId="0" pivotButton="0" quotePrefix="0" xfId="0"/>
    <xf numFmtId="0" fontId="10" fillId="0" borderId="0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25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11" fillId="0" borderId="2" applyAlignment="1" pivotButton="0" quotePrefix="0" xfId="0">
      <alignment horizontal="center" vertical="center" wrapText="1"/>
    </xf>
    <xf numFmtId="0" fontId="0" fillId="0" borderId="36" pivotButton="0" quotePrefix="0" xfId="0"/>
    <xf numFmtId="0" fontId="11" fillId="0" borderId="1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10" fillId="0" borderId="0" applyAlignment="1" pivotButton="0" quotePrefix="0" xfId="0">
      <alignment vertical="top" wrapText="1"/>
    </xf>
    <xf numFmtId="164" fontId="12" fillId="0" borderId="7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ont>
        <b val="1"/>
        <color rgb="001F4E78"/>
        <sz val="1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48"/>
  <sheetViews>
    <sheetView showGridLines="0" workbookViewId="0">
      <selection activeCell="A1" sqref="A1"/>
    </sheetView>
  </sheetViews>
  <sheetFormatPr baseColWidth="8" defaultRowHeight="15"/>
  <cols>
    <col width="10.5" customWidth="1" min="1" max="1"/>
    <col width="5.5" customWidth="1" min="2" max="2"/>
    <col width="6.5" customWidth="1" min="3" max="3"/>
    <col width="9.5" customWidth="1" min="4" max="4"/>
    <col width="11.5" customWidth="1" min="5" max="5"/>
    <col width="6.5" customWidth="1" min="6" max="6"/>
    <col width="9.5" customWidth="1" min="7" max="7"/>
    <col width="11.5" customWidth="1" min="8" max="8"/>
    <col width="6.5" customWidth="1" min="9" max="9"/>
    <col width="9.5" customWidth="1" min="10" max="10"/>
    <col width="11.5" customWidth="1" min="11" max="11"/>
    <col width="6.5" customWidth="1" min="12" max="12"/>
    <col width="9.5" customWidth="1" min="13" max="13"/>
    <col width="11.5" customWidth="1" min="14" max="14"/>
    <col width="6.5" customWidth="1" min="15" max="15"/>
    <col width="9.5" customWidth="1" min="16" max="16"/>
    <col width="11.5" customWidth="1" min="17" max="17"/>
    <col width="4.5" customWidth="1" min="18" max="18"/>
    <col width="4.5" customWidth="1" min="19" max="19"/>
    <col width="4.5" customWidth="1" min="20" max="20"/>
    <col width="4.5" customWidth="1" min="21" max="21"/>
    <col hidden="1" width="13" customWidth="1" min="25" max="25"/>
  </cols>
  <sheetData>
    <row r="1" ht="22" customHeight="1">
      <c r="A1" s="1" t="inlineStr">
        <is>
          <t>14 Day Medication Sheet - Stray</t>
        </is>
      </c>
      <c r="B1" s="44" t="n"/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4" t="n"/>
      <c r="P1" s="44" t="n"/>
      <c r="Q1" s="45" t="n"/>
      <c r="Y1" t="inlineStr">
        <is>
          <t>Amoxyclav 50mg</t>
        </is>
      </c>
    </row>
    <row r="2" ht="14" customHeight="1">
      <c r="A2" s="4" t="inlineStr">
        <is>
          <t>Patient ID:</t>
        </is>
      </c>
      <c r="B2" s="11" t="n"/>
      <c r="C2" s="11" t="n"/>
      <c r="D2" s="12" t="n"/>
      <c r="E2" s="4" t="inlineStr">
        <is>
          <t>Patient Tag:</t>
        </is>
      </c>
      <c r="F2" s="11" t="n"/>
      <c r="G2" s="11" t="n"/>
      <c r="H2" s="11" t="n"/>
      <c r="I2" s="12" t="n"/>
      <c r="J2" s="4" t="inlineStr">
        <is>
          <t>Patient Name:</t>
        </is>
      </c>
      <c r="K2" s="11" t="n"/>
      <c r="L2" s="11" t="n"/>
      <c r="M2" s="12" t="n"/>
      <c r="N2" s="4" t="inlineStr">
        <is>
          <t>Sx Date:</t>
        </is>
      </c>
      <c r="O2" s="11" t="n"/>
      <c r="P2" s="11" t="n"/>
      <c r="Q2" s="12" t="n"/>
      <c r="Y2" t="inlineStr">
        <is>
          <t>Amoxyclav 250mg</t>
        </is>
      </c>
    </row>
    <row r="3" ht="14" customHeight="1">
      <c r="A3" s="4" t="inlineStr">
        <is>
          <t>Breed:</t>
        </is>
      </c>
      <c r="B3" s="11" t="n"/>
      <c r="C3" s="11" t="n"/>
      <c r="D3" s="12" t="n"/>
      <c r="E3" s="4" t="inlineStr">
        <is>
          <t>Age:</t>
        </is>
      </c>
      <c r="F3" s="11" t="n"/>
      <c r="G3" s="11" t="n"/>
      <c r="H3" s="12" t="n"/>
      <c r="I3" s="4" t="inlineStr">
        <is>
          <t>Location:</t>
        </is>
      </c>
      <c r="J3" s="11" t="n"/>
      <c r="K3" s="11" t="n"/>
      <c r="L3" s="11" t="n"/>
      <c r="M3" s="12" t="n"/>
      <c r="N3" s="4" t="inlineStr">
        <is>
          <t>Vet in Charge:</t>
        </is>
      </c>
      <c r="O3" s="11" t="n"/>
      <c r="P3" s="11" t="n"/>
      <c r="Q3" s="12" t="n"/>
      <c r="Y3" t="inlineStr">
        <is>
          <t>Amoxyclav 500mg</t>
        </is>
      </c>
    </row>
    <row r="4" ht="4" customHeight="1">
      <c r="A4" s="4" t="n"/>
      <c r="B4" s="11" t="n"/>
      <c r="C4" s="11" t="n"/>
      <c r="D4" s="12" t="n"/>
      <c r="E4" s="4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2" t="n"/>
      <c r="Y4" t="inlineStr">
        <is>
          <t>Clavulox drops (62.5mg/mL)</t>
        </is>
      </c>
    </row>
    <row r="5" ht="12" customHeight="1">
      <c r="A5" s="6" t="inlineStr">
        <is>
          <t>Vet Plan:</t>
        </is>
      </c>
      <c r="B5" s="46" t="n"/>
      <c r="C5" s="46" t="n"/>
      <c r="D5" s="46" t="n"/>
      <c r="E5" s="46" t="n"/>
      <c r="F5" s="46" t="n"/>
      <c r="G5" s="46" t="n"/>
      <c r="H5" s="46" t="n"/>
      <c r="I5" s="46" t="n"/>
      <c r="J5" s="46" t="n"/>
      <c r="K5" s="46" t="n"/>
      <c r="L5" s="46" t="n"/>
      <c r="M5" s="46" t="n"/>
      <c r="N5" s="46" t="n"/>
      <c r="O5" s="46" t="n"/>
      <c r="P5" s="46" t="n"/>
      <c r="Q5" s="47" t="n"/>
      <c r="Y5" t="inlineStr">
        <is>
          <t>Doxycycline 50mg</t>
        </is>
      </c>
    </row>
    <row r="6" ht="12" customHeight="1">
      <c r="A6" s="48" t="n"/>
      <c r="Q6" s="49" t="n"/>
      <c r="Y6" t="inlineStr">
        <is>
          <t>Doxycycline 100mg</t>
        </is>
      </c>
    </row>
    <row r="7" ht="12" customHeight="1">
      <c r="A7" s="50" t="n"/>
      <c r="B7" s="51" t="n"/>
      <c r="C7" s="51" t="n"/>
      <c r="D7" s="51" t="n"/>
      <c r="E7" s="51" t="n"/>
      <c r="F7" s="51" t="n"/>
      <c r="G7" s="51" t="n"/>
      <c r="H7" s="51" t="n"/>
      <c r="I7" s="51" t="n"/>
      <c r="J7" s="51" t="n"/>
      <c r="K7" s="51" t="n"/>
      <c r="L7" s="51" t="n"/>
      <c r="M7" s="51" t="n"/>
      <c r="N7" s="51" t="n"/>
      <c r="O7" s="51" t="n"/>
      <c r="P7" s="51" t="n"/>
      <c r="Q7" s="52" t="n"/>
      <c r="Y7" t="inlineStr">
        <is>
          <t>Doxycycline paste</t>
        </is>
      </c>
    </row>
    <row r="8" ht="14" customHeight="1">
      <c r="A8" s="57" t="inlineStr">
        <is>
          <t>Weight (kg):</t>
        </is>
      </c>
      <c r="B8" s="58" t="n"/>
      <c r="C8" s="7" t="inlineStr">
        <is>
          <t>Medication:</t>
        </is>
      </c>
      <c r="D8" s="8" t="n"/>
      <c r="E8" s="9" t="n"/>
      <c r="F8" s="7" t="inlineStr">
        <is>
          <t>Medication:</t>
        </is>
      </c>
      <c r="G8" s="8" t="n"/>
      <c r="H8" s="9" t="n"/>
      <c r="I8" s="7" t="inlineStr">
        <is>
          <t>Medication:</t>
        </is>
      </c>
      <c r="J8" s="8" t="n"/>
      <c r="K8" s="9" t="n"/>
      <c r="L8" s="7" t="inlineStr">
        <is>
          <t>Medication:</t>
        </is>
      </c>
      <c r="M8" s="8" t="n"/>
      <c r="N8" s="9" t="n"/>
      <c r="O8" s="7" t="inlineStr">
        <is>
          <t>Medication:</t>
        </is>
      </c>
      <c r="P8" s="8" t="n"/>
      <c r="Q8" s="9" t="n"/>
      <c r="Y8" t="inlineStr">
        <is>
          <t>Meloxicam (cat, liquid)</t>
        </is>
      </c>
    </row>
    <row r="9" ht="13" customHeight="1">
      <c r="C9" s="10" t="inlineStr"/>
      <c r="D9" s="11" t="n"/>
      <c r="E9" s="12" t="n"/>
      <c r="F9" s="10" t="inlineStr"/>
      <c r="G9" s="11" t="n"/>
      <c r="H9" s="12" t="n"/>
      <c r="I9" s="10" t="inlineStr"/>
      <c r="J9" s="11" t="n"/>
      <c r="K9" s="12" t="n"/>
      <c r="L9" s="10" t="inlineStr"/>
      <c r="M9" s="11" t="n"/>
      <c r="N9" s="12" t="n"/>
      <c r="O9" s="10" t="inlineStr"/>
      <c r="P9" s="11" t="n"/>
      <c r="Q9" s="12" t="n"/>
      <c r="Y9" t="inlineStr">
        <is>
          <t>Meloxicam (dog, liquid)</t>
        </is>
      </c>
    </row>
    <row r="10" ht="13" customHeight="1">
      <c r="C10" s="13" t="inlineStr">
        <is>
          <t>Days:</t>
        </is>
      </c>
      <c r="D10" s="14" t="n"/>
      <c r="E10" s="15" t="n"/>
      <c r="F10" s="13" t="inlineStr">
        <is>
          <t>Days:</t>
        </is>
      </c>
      <c r="G10" s="14" t="n"/>
      <c r="H10" s="15" t="n"/>
      <c r="I10" s="13" t="inlineStr">
        <is>
          <t>Days:</t>
        </is>
      </c>
      <c r="J10" s="14" t="n"/>
      <c r="K10" s="15" t="n"/>
      <c r="L10" s="13" t="inlineStr">
        <is>
          <t>Days:</t>
        </is>
      </c>
      <c r="M10" s="14" t="n"/>
      <c r="N10" s="15" t="n"/>
      <c r="O10" s="13" t="inlineStr">
        <is>
          <t>Days:</t>
        </is>
      </c>
      <c r="P10" s="14" t="n"/>
      <c r="Q10" s="15" t="n"/>
      <c r="Y10" t="inlineStr">
        <is>
          <t>Meloxicam 1mg (dog tablet)</t>
        </is>
      </c>
    </row>
    <row r="11" ht="20" customHeight="1">
      <c r="C11" s="16">
        <f>IF(ISNUMBER(SEARCH("Meloxicam",C9)),"MUST BE GIVEN WITH FOOD. STOP if vomiting, diarrhoea, or not eating.","")</f>
        <v/>
      </c>
      <c r="D11" s="11" t="n"/>
      <c r="E11" s="12" t="n"/>
      <c r="F11" s="16">
        <f>IF(ISNUMBER(SEARCH("Meloxicam",F9)),"MUST BE GIVEN WITH FOOD. STOP if vomiting, diarrhoea, or not eating.","")</f>
        <v/>
      </c>
      <c r="G11" s="11" t="n"/>
      <c r="H11" s="12" t="n"/>
      <c r="I11" s="16">
        <f>IF(ISNUMBER(SEARCH("Meloxicam",I9)),"MUST BE GIVEN WITH FOOD. STOP if vomiting, diarrhoea, or not eating.","")</f>
        <v/>
      </c>
      <c r="J11" s="11" t="n"/>
      <c r="K11" s="12" t="n"/>
      <c r="L11" s="16">
        <f>IF(ISNUMBER(SEARCH("Meloxicam",L9)),"MUST BE GIVEN WITH FOOD. STOP if vomiting, diarrhoea, or not eating.","")</f>
        <v/>
      </c>
      <c r="M11" s="11" t="n"/>
      <c r="N11" s="12" t="n"/>
      <c r="O11" s="16">
        <f>IF(ISNUMBER(SEARCH("Meloxicam",O9)),"MUST BE GIVEN WITH FOOD. STOP if vomiting, diarrhoea, or not eating.","")</f>
        <v/>
      </c>
      <c r="P11" s="11" t="n"/>
      <c r="Q11" s="12" t="n"/>
      <c r="Y11" t="inlineStr">
        <is>
          <t>Meloxicam 2.5mg (dog tablet)</t>
        </is>
      </c>
    </row>
    <row r="12" ht="14" customHeight="1">
      <c r="C12" s="17">
        <f>"Dose: "&amp;IF(OR($B$8="",NOT(ISNUMBER($B$8))),"",IF(C9="Amoxyclav 50mg",CEILING($B$8*20/50,0.25)&amp;" tablets",IF(C9="Amoxyclav 250mg",CEILING($B$8*20/250,0.25)&amp;" tablets",IF(C9="Amoxyclav 500mg",CEILING($B$8*20/500,0.25)&amp;" tablets",IF(C9="Doxycycline 50mg",CEILING($B$8*10/50,0.25)&amp;" tablets",IF(C9="Doxycycline 100mg",CEILING($B$8*10/100,0.25)&amp;" tablets",IF(C9="Famvir 125mg",CEILING($B$8*90/125,0.25)&amp;" tablets",IF(C9="Famvir 250mg",CEILING($B$8*90/250,0.25)&amp;" tablets",IF(C9="Meloxicam 1mg (dog tablet)",CEILING($B$8*0.1/1,0.25)&amp;" tablets",IF(C9="Meloxicam 2.5mg (dog tablet)",CEILING($B$8*0.1/2.5,0.25)&amp;" tablets",IF(C9="Clavulox drops (62.5mg/mL)",ROUND($B$8*20/62.5,2)&amp;"mL",IF(C9="Paracetamol 500mg (DOGS ONLY)",CEILING($B$8*15/500,0.25)&amp;" tablets",IF(C9="Doxybrom",ROUND($B$8*0.05,2)&amp;"mL",IF(C9="Panacur",ROUND($B$8/2,2)&amp;"mL",IF(C9="Famvir 250mg/mL solution",ROUND($B$8*90/250,2)&amp;"mL",IF(C9="Mirtazapine 1.88mg (transdermal)","1.88mg",IF(C9="Buprenorphine",ROUND($B$8*0.02/0.3,2)&amp;"mL",IF(C9="Doxycycline paste",CEILING($B$8*10/25,0.5)&amp;" notches",IF(C9="Meloxicam (cat, liquid)",ROUND($B$8*0.1,2)&amp;"mL",IF(C9="Meloxicam (dog, liquid)",ROUND($B$8*0.1/5,2)&amp;"mL",""))))))))))))))))))))</f>
        <v/>
      </c>
      <c r="D12" s="11" t="n"/>
      <c r="E12" s="12" t="n"/>
      <c r="F12" s="17">
        <f>"Dose: "&amp;IF(OR($B$8="",NOT(ISNUMBER($B$8))),"",IF(F9="Amoxyclav 50mg",CEILING($B$8*20/50,0.25)&amp;" tablets",IF(F9="Amoxyclav 250mg",CEILING($B$8*20/250,0.25)&amp;" tablets",IF(F9="Amoxyclav 500mg",CEILING($B$8*20/500,0.25)&amp;" tablets",IF(F9="Doxycycline 50mg",CEILING($B$8*10/50,0.25)&amp;" tablets",IF(F9="Doxycycline 100mg",CEILING($B$8*10/100,0.25)&amp;" tablets",IF(F9="Famvir 125mg",CEILING($B$8*90/125,0.25)&amp;" tablets",IF(F9="Famvir 250mg",CEILING($B$8*90/250,0.25)&amp;" tablets",IF(F9="Meloxicam 1mg (dog tablet)",CEILING($B$8*0.1/1,0.25)&amp;" tablets",IF(F9="Meloxicam 2.5mg (dog tablet)",CEILING($B$8*0.1/2.5,0.25)&amp;" tablets",IF(F9="Clavulox drops (62.5mg/mL)",ROUND($B$8*20/62.5,2)&amp;"mL",IF(F9="Paracetamol 500mg (DOGS ONLY)",CEILING($B$8*15/500,0.25)&amp;" tablets",IF(F9="Doxybrom",ROUND($B$8*0.05,2)&amp;"mL",IF(F9="Panacur",ROUND($B$8/2,2)&amp;"mL",IF(F9="Famvir 250mg/mL solution",ROUND($B$8*90/250,2)&amp;"mL",IF(F9="Mirtazapine 1.88mg (transdermal)","1.88mg",IF(F9="Buprenorphine",ROUND($B$8*0.02/0.3,2)&amp;"mL",IF(F9="Doxycycline paste",CEILING($B$8*10/25,0.5)&amp;" notches",IF(F9="Meloxicam (cat, liquid)",ROUND($B$8*0.1,2)&amp;"mL",IF(F9="Meloxicam (dog, liquid)",ROUND($B$8*0.1/5,2)&amp;"mL",""))))))))))))))))))))</f>
        <v/>
      </c>
      <c r="G12" s="11" t="n"/>
      <c r="H12" s="12" t="n"/>
      <c r="I12" s="17">
        <f>"Dose: "&amp;IF(OR($B$8="",NOT(ISNUMBER($B$8))),"",IF(I9="Amoxyclav 50mg",CEILING($B$8*20/50,0.25)&amp;" tablets",IF(I9="Amoxyclav 250mg",CEILING($B$8*20/250,0.25)&amp;" tablets",IF(I9="Amoxyclav 500mg",CEILING($B$8*20/500,0.25)&amp;" tablets",IF(I9="Doxycycline 50mg",CEILING($B$8*10/50,0.25)&amp;" tablets",IF(I9="Doxycycline 100mg",CEILING($B$8*10/100,0.25)&amp;" tablets",IF(I9="Famvir 125mg",CEILING($B$8*90/125,0.25)&amp;" tablets",IF(I9="Famvir 250mg",CEILING($B$8*90/250,0.25)&amp;" tablets",IF(I9="Meloxicam 1mg (dog tablet)",CEILING($B$8*0.1/1,0.25)&amp;" tablets",IF(I9="Meloxicam 2.5mg (dog tablet)",CEILING($B$8*0.1/2.5,0.25)&amp;" tablets",IF(I9="Clavulox drops (62.5mg/mL)",ROUND($B$8*20/62.5,2)&amp;"mL",IF(I9="Paracetamol 500mg (DOGS ONLY)",CEILING($B$8*15/500,0.25)&amp;" tablets",IF(I9="Doxybrom",ROUND($B$8*0.05,2)&amp;"mL",IF(I9="Panacur",ROUND($B$8/2,2)&amp;"mL",IF(I9="Famvir 250mg/mL solution",ROUND($B$8*90/250,2)&amp;"mL",IF(I9="Mirtazapine 1.88mg (transdermal)","1.88mg",IF(I9="Buprenorphine",ROUND($B$8*0.02/0.3,2)&amp;"mL",IF(I9="Doxycycline paste",CEILING($B$8*10/25,0.5)&amp;" notches",IF(I9="Meloxicam (cat, liquid)",ROUND($B$8*0.1,2)&amp;"mL",IF(I9="Meloxicam (dog, liquid)",ROUND($B$8*0.1/5,2)&amp;"mL",""))))))))))))))))))))</f>
        <v/>
      </c>
      <c r="J12" s="11" t="n"/>
      <c r="K12" s="12" t="n"/>
      <c r="L12" s="17">
        <f>"Dose: "&amp;IF(OR($B$8="",NOT(ISNUMBER($B$8))),"",IF(L9="Amoxyclav 50mg",CEILING($B$8*20/50,0.25)&amp;" tablets",IF(L9="Amoxyclav 250mg",CEILING($B$8*20/250,0.25)&amp;" tablets",IF(L9="Amoxyclav 500mg",CEILING($B$8*20/500,0.25)&amp;" tablets",IF(L9="Doxycycline 50mg",CEILING($B$8*10/50,0.25)&amp;" tablets",IF(L9="Doxycycline 100mg",CEILING($B$8*10/100,0.25)&amp;" tablets",IF(L9="Famvir 125mg",CEILING($B$8*90/125,0.25)&amp;" tablets",IF(L9="Famvir 250mg",CEILING($B$8*90/250,0.25)&amp;" tablets",IF(L9="Meloxicam 1mg (dog tablet)",CEILING($B$8*0.1/1,0.25)&amp;" tablets",IF(L9="Meloxicam 2.5mg (dog tablet)",CEILING($B$8*0.1/2.5,0.25)&amp;" tablets",IF(L9="Clavulox drops (62.5mg/mL)",ROUND($B$8*20/62.5,2)&amp;"mL",IF(L9="Paracetamol 500mg (DOGS ONLY)",CEILING($B$8*15/500,0.25)&amp;" tablets",IF(L9="Doxybrom",ROUND($B$8*0.05,2)&amp;"mL",IF(L9="Panacur",ROUND($B$8/2,2)&amp;"mL",IF(L9="Famvir 250mg/mL solution",ROUND($B$8*90/250,2)&amp;"mL",IF(L9="Mirtazapine 1.88mg (transdermal)","1.88mg",IF(L9="Buprenorphine",ROUND($B$8*0.02/0.3,2)&amp;"mL",IF(L9="Doxycycline paste",CEILING($B$8*10/25,0.5)&amp;" notches",IF(L9="Meloxicam (cat, liquid)",ROUND($B$8*0.1,2)&amp;"mL",IF(L9="Meloxicam (dog, liquid)",ROUND($B$8*0.1/5,2)&amp;"mL",""))))))))))))))))))))</f>
        <v/>
      </c>
      <c r="M12" s="11" t="n"/>
      <c r="N12" s="12" t="n"/>
      <c r="O12" s="17">
        <f>"Dose: "&amp;IF(OR($B$8="",NOT(ISNUMBER($B$8))),"",IF(O9="Amoxyclav 50mg",CEILING($B$8*20/50,0.25)&amp;" tablets",IF(O9="Amoxyclav 250mg",CEILING($B$8*20/250,0.25)&amp;" tablets",IF(O9="Amoxyclav 500mg",CEILING($B$8*20/500,0.25)&amp;" tablets",IF(O9="Doxycycline 50mg",CEILING($B$8*10/50,0.25)&amp;" tablets",IF(O9="Doxycycline 100mg",CEILING($B$8*10/100,0.25)&amp;" tablets",IF(O9="Famvir 125mg",CEILING($B$8*90/125,0.25)&amp;" tablets",IF(O9="Famvir 250mg",CEILING($B$8*90/250,0.25)&amp;" tablets",IF(O9="Meloxicam 1mg (dog tablet)",CEILING($B$8*0.1/1,0.25)&amp;" tablets",IF(O9="Meloxicam 2.5mg (dog tablet)",CEILING($B$8*0.1/2.5,0.25)&amp;" tablets",IF(O9="Clavulox drops (62.5mg/mL)",ROUND($B$8*20/62.5,2)&amp;"mL",IF(O9="Paracetamol 500mg (DOGS ONLY)",CEILING($B$8*15/500,0.25)&amp;" tablets",IF(O9="Doxybrom",ROUND($B$8*0.05,2)&amp;"mL",IF(O9="Panacur",ROUND($B$8/2,2)&amp;"mL",IF(O9="Famvir 250mg/mL solution",ROUND($B$8*90/250,2)&amp;"mL",IF(O9="Mirtazapine 1.88mg (transdermal)","1.88mg",IF(O9="Buprenorphine",ROUND($B$8*0.02/0.3,2)&amp;"mL",IF(O9="Doxycycline paste",CEILING($B$8*10/25,0.5)&amp;" notches",IF(O9="Meloxicam (cat, liquid)",ROUND($B$8*0.1,2)&amp;"mL",IF(O9="Meloxicam (dog, liquid)",ROUND($B$8*0.1/5,2)&amp;"mL",""))))))))))))))))))))</f>
        <v/>
      </c>
      <c r="P12" s="11" t="n"/>
      <c r="Q12" s="12" t="n"/>
      <c r="Y12" t="inlineStr">
        <is>
          <t>Panacur</t>
        </is>
      </c>
    </row>
    <row r="13" ht="14" customHeight="1">
      <c r="C13" s="17">
        <f>IF(OR(C9="Amoxyclav 50mg",C9="Amoxyclav 250mg",C9="Amoxyclav 500mg",C9="Clavulox drops (62.5mg/mL)"),"Freq: BID",IF(OR(C9="Doxycycline 50mg",C9="Doxycycline 100mg",C9="Doxycycline paste"),"Freq: SID",IF(ISNUMBER(SEARCH("Meloxicam",C9)),"Freq: SID",IF(C9="Paracetamol 500mg (DOGS ONLY)","Freq: BID",IF(C9="Chlorsig","Freq: BID",IF(OR(C9="Famvir 125mg",C9="Famvir 250mg",C9="Famvir 250mg/mL solution"),"Freq: BID",IF(C9="Doxybrom","Freq: BID",IF(C9="Panacur","Freq: SID",IF(C9="Mirtazapine 1.88mg (transdermal)","Freq: SID",IF(C9="Buprenorphine","Freq: BID","Freq: "))))))))))</f>
        <v/>
      </c>
      <c r="D13" s="11" t="n"/>
      <c r="E13" s="12" t="n"/>
      <c r="F13" s="17">
        <f>IF(OR(F9="Amoxyclav 50mg",F9="Amoxyclav 250mg",F9="Amoxyclav 500mg",F9="Clavulox drops (62.5mg/mL)"),"Freq: BID",IF(OR(F9="Doxycycline 50mg",F9="Doxycycline 100mg",F9="Doxycycline paste"),"Freq: SID",IF(ISNUMBER(SEARCH("Meloxicam",F9)),"Freq: SID",IF(F9="Paracetamol 500mg (DOGS ONLY)","Freq: BID",IF(F9="Chlorsig","Freq: BID",IF(OR(F9="Famvir 125mg",F9="Famvir 250mg",F9="Famvir 250mg/mL solution"),"Freq: BID",IF(F9="Doxybrom","Freq: BID",IF(F9="Panacur","Freq: SID",IF(F9="Mirtazapine 1.88mg (transdermal)","Freq: SID",IF(F9="Buprenorphine","Freq: BID","Freq: "))))))))))</f>
        <v/>
      </c>
      <c r="G13" s="11" t="n"/>
      <c r="H13" s="12" t="n"/>
      <c r="I13" s="17">
        <f>IF(OR(I9="Amoxyclav 50mg",I9="Amoxyclav 250mg",I9="Amoxyclav 500mg",I9="Clavulox drops (62.5mg/mL)"),"Freq: BID",IF(OR(I9="Doxycycline 50mg",I9="Doxycycline 100mg",I9="Doxycycline paste"),"Freq: SID",IF(ISNUMBER(SEARCH("Meloxicam",I9)),"Freq: SID",IF(I9="Paracetamol 500mg (DOGS ONLY)","Freq: BID",IF(I9="Chlorsig","Freq: BID",IF(OR(I9="Famvir 125mg",I9="Famvir 250mg",I9="Famvir 250mg/mL solution"),"Freq: BID",IF(I9="Doxybrom","Freq: BID",IF(I9="Panacur","Freq: SID",IF(I9="Mirtazapine 1.88mg (transdermal)","Freq: SID",IF(I9="Buprenorphine","Freq: BID","Freq: "))))))))))</f>
        <v/>
      </c>
      <c r="J13" s="11" t="n"/>
      <c r="K13" s="12" t="n"/>
      <c r="L13" s="17">
        <f>IF(OR(L9="Amoxyclav 50mg",L9="Amoxyclav 250mg",L9="Amoxyclav 500mg",L9="Clavulox drops (62.5mg/mL)"),"Freq: BID",IF(OR(L9="Doxycycline 50mg",L9="Doxycycline 100mg",L9="Doxycycline paste"),"Freq: SID",IF(ISNUMBER(SEARCH("Meloxicam",L9)),"Freq: SID",IF(L9="Paracetamol 500mg (DOGS ONLY)","Freq: BID",IF(L9="Chlorsig","Freq: BID",IF(OR(L9="Famvir 125mg",L9="Famvir 250mg",L9="Famvir 250mg/mL solution"),"Freq: BID",IF(L9="Doxybrom","Freq: BID",IF(L9="Panacur","Freq: SID",IF(L9="Mirtazapine 1.88mg (transdermal)","Freq: SID",IF(L9="Buprenorphine","Freq: BID","Freq: "))))))))))</f>
        <v/>
      </c>
      <c r="M13" s="11" t="n"/>
      <c r="N13" s="12" t="n"/>
      <c r="O13" s="17">
        <f>IF(OR(O9="Amoxyclav 50mg",O9="Amoxyclav 250mg",O9="Amoxyclav 500mg",O9="Clavulox drops (62.5mg/mL)"),"Freq: BID",IF(OR(O9="Doxycycline 50mg",O9="Doxycycline 100mg",O9="Doxycycline paste"),"Freq: SID",IF(ISNUMBER(SEARCH("Meloxicam",O9)),"Freq: SID",IF(O9="Paracetamol 500mg (DOGS ONLY)","Freq: BID",IF(O9="Chlorsig","Freq: BID",IF(OR(O9="Famvir 125mg",O9="Famvir 250mg",O9="Famvir 250mg/mL solution"),"Freq: BID",IF(O9="Doxybrom","Freq: BID",IF(O9="Panacur","Freq: SID",IF(O9="Mirtazapine 1.88mg (transdermal)","Freq: SID",IF(O9="Buprenorphine","Freq: BID","Freq: "))))))))))</f>
        <v/>
      </c>
      <c r="P13" s="11" t="n"/>
      <c r="Q13" s="12" t="n"/>
      <c r="Y13" t="inlineStr">
        <is>
          <t>Drontal</t>
        </is>
      </c>
    </row>
    <row r="14" ht="14" customHeight="1">
      <c r="C14" s="18">
        <f>IF(C9="Chlorsig","Route: Ophthalmic (eye)",IF(C9="Buprenorphine","Route: Transmucosal",IF(C9="Mirtazapine 1.88mg (transdermal)","Route: Transdermal","Route: PO")))</f>
        <v/>
      </c>
      <c r="D14" s="19" t="n"/>
      <c r="E14" s="20" t="n"/>
      <c r="F14" s="18">
        <f>IF(F9="Chlorsig","Route: Ophthalmic (eye)",IF(F9="Buprenorphine","Route: Transmucosal",IF(F9="Mirtazapine 1.88mg (transdermal)","Route: Transdermal","Route: PO")))</f>
        <v/>
      </c>
      <c r="G14" s="19" t="n"/>
      <c r="H14" s="20" t="n"/>
      <c r="I14" s="18">
        <f>IF(I9="Chlorsig","Route: Ophthalmic (eye)",IF(I9="Buprenorphine","Route: Transmucosal",IF(I9="Mirtazapine 1.88mg (transdermal)","Route: Transdermal","Route: PO")))</f>
        <v/>
      </c>
      <c r="J14" s="19" t="n"/>
      <c r="K14" s="20" t="n"/>
      <c r="L14" s="18">
        <f>IF(L9="Chlorsig","Route: Ophthalmic (eye)",IF(L9="Buprenorphine","Route: Transmucosal",IF(L9="Mirtazapine 1.88mg (transdermal)","Route: Transdermal","Route: PO")))</f>
        <v/>
      </c>
      <c r="M14" s="19" t="n"/>
      <c r="N14" s="20" t="n"/>
      <c r="O14" s="18">
        <f>IF(O9="Chlorsig","Route: Ophthalmic (eye)",IF(O9="Buprenorphine","Route: Transmucosal",IF(O9="Mirtazapine 1.88mg (transdermal)","Route: Transdermal","Route: PO")))</f>
        <v/>
      </c>
      <c r="P14" s="19" t="n"/>
      <c r="Q14" s="20" t="n"/>
      <c r="Y14" t="inlineStr">
        <is>
          <t>Paracetamol 500mg (DOGS ONLY)</t>
        </is>
      </c>
    </row>
    <row r="15" ht="14" customHeight="1">
      <c r="A15" s="21" t="inlineStr">
        <is>
          <t>DATE</t>
        </is>
      </c>
      <c r="B15" s="22" t="n"/>
      <c r="C15" s="23" t="inlineStr"/>
      <c r="D15" s="44" t="n"/>
      <c r="E15" s="45" t="n"/>
      <c r="F15" s="23" t="inlineStr"/>
      <c r="G15" s="44" t="n"/>
      <c r="H15" s="45" t="n"/>
      <c r="I15" s="23" t="inlineStr"/>
      <c r="J15" s="44" t="n"/>
      <c r="K15" s="45" t="n"/>
      <c r="L15" s="23" t="inlineStr"/>
      <c r="M15" s="44" t="n"/>
      <c r="N15" s="45" t="n"/>
      <c r="O15" s="23" t="inlineStr"/>
      <c r="P15" s="44" t="n"/>
      <c r="Q15" s="45" t="n"/>
      <c r="R15" s="59" t="inlineStr">
        <is>
          <t>E</t>
        </is>
      </c>
      <c r="S15" s="59" t="inlineStr">
        <is>
          <t>D</t>
        </is>
      </c>
      <c r="T15" s="59" t="inlineStr">
        <is>
          <t>U</t>
        </is>
      </c>
      <c r="U15" s="59" t="inlineStr">
        <is>
          <t>D</t>
        </is>
      </c>
      <c r="Y15" t="inlineStr">
        <is>
          <t>Chlorsig</t>
        </is>
      </c>
    </row>
    <row r="16" ht="17" customHeight="1">
      <c r="A16" s="62">
        <f>TODAY()+1</f>
        <v/>
      </c>
      <c r="B16" s="63" t="inlineStr">
        <is>
          <t>AM
PM</t>
        </is>
      </c>
      <c r="C16" s="29" t="n"/>
      <c r="D16" s="53">
        <f>IF(AND($D10&gt;0,$D10+1=1),"R/C",IF(AND($D10&gt;=1,OR(ISNUMBER(SEARCH("SID",C13)),ISNUMBER(SEARCH("BID",C13)))),"◯",""))</f>
        <v/>
      </c>
      <c r="E16" s="31" t="n"/>
      <c r="F16" s="29" t="n"/>
      <c r="G16" s="53">
        <f>IF(AND($G10&gt;0,$G10+1=1),"R/C",IF(AND($G10&gt;=1,OR(ISNUMBER(SEARCH("SID",F13)),ISNUMBER(SEARCH("BID",F13)))),"◯",""))</f>
        <v/>
      </c>
      <c r="H16" s="31" t="n"/>
      <c r="I16" s="29" t="n"/>
      <c r="J16" s="53">
        <f>IF(AND($J10&gt;0,$J10+1=1),"R/C",IF(AND($J10&gt;=1,OR(ISNUMBER(SEARCH("SID",I13)),ISNUMBER(SEARCH("BID",I13)))),"◯",""))</f>
        <v/>
      </c>
      <c r="K16" s="31" t="n"/>
      <c r="L16" s="29" t="n"/>
      <c r="M16" s="53">
        <f>IF(AND($M10&gt;0,$M10+1=1),"R/C",IF(AND($M10&gt;=1,OR(ISNUMBER(SEARCH("SID",L13)),ISNUMBER(SEARCH("BID",L13)))),"◯",""))</f>
        <v/>
      </c>
      <c r="N16" s="31" t="n"/>
      <c r="O16" s="29" t="n"/>
      <c r="P16" s="53">
        <f>IF(AND($P10&gt;0,$P10+1=1),"R/C",IF(AND($P10&gt;=1,OR(ISNUMBER(SEARCH("SID",O13)),ISNUMBER(SEARCH("BID",O13)))),"◯",""))</f>
        <v/>
      </c>
      <c r="Q16" s="32" t="n"/>
      <c r="R16" s="60" t="n"/>
      <c r="S16" s="60" t="n"/>
      <c r="T16" s="60" t="n"/>
      <c r="U16" s="60" t="n"/>
      <c r="Y16" t="inlineStr">
        <is>
          <t>Famvir 125mg</t>
        </is>
      </c>
    </row>
    <row r="17" ht="17" customHeight="1">
      <c r="A17" s="54" t="n"/>
      <c r="B17" s="54" t="n"/>
      <c r="C17" s="34" t="n"/>
      <c r="D17" s="55">
        <f>IF(AND($D10&gt;=1,ISNUMBER(SEARCH("BID",C13))),"◯","")</f>
        <v/>
      </c>
      <c r="E17" s="5" t="n"/>
      <c r="F17" s="34" t="n"/>
      <c r="G17" s="55">
        <f>IF(AND($G10&gt;=1,ISNUMBER(SEARCH("BID",F13))),"◯","")</f>
        <v/>
      </c>
      <c r="H17" s="5" t="n"/>
      <c r="I17" s="34" t="n"/>
      <c r="J17" s="55">
        <f>IF(AND($J10&gt;=1,ISNUMBER(SEARCH("BID",I13))),"◯","")</f>
        <v/>
      </c>
      <c r="K17" s="5" t="n"/>
      <c r="L17" s="34" t="n"/>
      <c r="M17" s="55">
        <f>IF(AND($M10&gt;=1,ISNUMBER(SEARCH("BID",L13))),"◯","")</f>
        <v/>
      </c>
      <c r="N17" s="5" t="n"/>
      <c r="O17" s="34" t="n"/>
      <c r="P17" s="55">
        <f>IF(AND($P10&gt;=1,ISNUMBER(SEARCH("BID",O13))),"◯","")</f>
        <v/>
      </c>
      <c r="Q17" s="15" t="n"/>
      <c r="R17" s="54" t="n"/>
      <c r="S17" s="54" t="n"/>
      <c r="T17" s="54" t="n"/>
      <c r="U17" s="54" t="n"/>
      <c r="Y17" t="inlineStr">
        <is>
          <t>Famvir 250mg</t>
        </is>
      </c>
    </row>
    <row r="18" ht="17" customHeight="1">
      <c r="A18" s="62">
        <f>A16+1</f>
        <v/>
      </c>
      <c r="B18" s="63" t="inlineStr">
        <is>
          <t>AM
PM</t>
        </is>
      </c>
      <c r="C18" s="29" t="n"/>
      <c r="D18" s="53">
        <f>IF(AND($D10&gt;0,$D10+1=2),"R/C",IF(AND($D10&gt;=2,OR(ISNUMBER(SEARCH("SID",C13)),ISNUMBER(SEARCH("BID",C13)))),"◯",""))</f>
        <v/>
      </c>
      <c r="E18" s="31" t="n"/>
      <c r="F18" s="29" t="n"/>
      <c r="G18" s="53">
        <f>IF(AND($G10&gt;0,$G10+1=2),"R/C",IF(AND($G10&gt;=2,OR(ISNUMBER(SEARCH("SID",F13)),ISNUMBER(SEARCH("BID",F13)))),"◯",""))</f>
        <v/>
      </c>
      <c r="H18" s="31" t="n"/>
      <c r="I18" s="29" t="n"/>
      <c r="J18" s="53">
        <f>IF(AND($J10&gt;0,$J10+1=2),"R/C",IF(AND($J10&gt;=2,OR(ISNUMBER(SEARCH("SID",I13)),ISNUMBER(SEARCH("BID",I13)))),"◯",""))</f>
        <v/>
      </c>
      <c r="K18" s="31" t="n"/>
      <c r="L18" s="29" t="n"/>
      <c r="M18" s="53">
        <f>IF(AND($M10&gt;0,$M10+1=2),"R/C",IF(AND($M10&gt;=2,OR(ISNUMBER(SEARCH("SID",L13)),ISNUMBER(SEARCH("BID",L13)))),"◯",""))</f>
        <v/>
      </c>
      <c r="N18" s="31" t="n"/>
      <c r="O18" s="29" t="n"/>
      <c r="P18" s="53">
        <f>IF(AND($P10&gt;0,$P10+1=2),"R/C",IF(AND($P10&gt;=2,OR(ISNUMBER(SEARCH("SID",O13)),ISNUMBER(SEARCH("BID",O13)))),"◯",""))</f>
        <v/>
      </c>
      <c r="Q18" s="32" t="n"/>
      <c r="R18" s="60" t="n"/>
      <c r="S18" s="60" t="n"/>
      <c r="T18" s="60" t="n"/>
      <c r="U18" s="60" t="n"/>
      <c r="Y18" t="inlineStr">
        <is>
          <t>Famvir 250mg/mL solution</t>
        </is>
      </c>
    </row>
    <row r="19" ht="17" customHeight="1">
      <c r="A19" s="54" t="n"/>
      <c r="B19" s="54" t="n"/>
      <c r="C19" s="34" t="n"/>
      <c r="D19" s="55">
        <f>IF(AND($D10&gt;=2,ISNUMBER(SEARCH("BID",C13))),"◯","")</f>
        <v/>
      </c>
      <c r="E19" s="5" t="n"/>
      <c r="F19" s="34" t="n"/>
      <c r="G19" s="55">
        <f>IF(AND($G10&gt;=2,ISNUMBER(SEARCH("BID",F13))),"◯","")</f>
        <v/>
      </c>
      <c r="H19" s="5" t="n"/>
      <c r="I19" s="34" t="n"/>
      <c r="J19" s="55">
        <f>IF(AND($J10&gt;=2,ISNUMBER(SEARCH("BID",I13))),"◯","")</f>
        <v/>
      </c>
      <c r="K19" s="5" t="n"/>
      <c r="L19" s="34" t="n"/>
      <c r="M19" s="55">
        <f>IF(AND($M10&gt;=2,ISNUMBER(SEARCH("BID",L13))),"◯","")</f>
        <v/>
      </c>
      <c r="N19" s="5" t="n"/>
      <c r="O19" s="34" t="n"/>
      <c r="P19" s="55">
        <f>IF(AND($P10&gt;=2,ISNUMBER(SEARCH("BID",O13))),"◯","")</f>
        <v/>
      </c>
      <c r="Q19" s="15" t="n"/>
      <c r="R19" s="54" t="n"/>
      <c r="S19" s="54" t="n"/>
      <c r="T19" s="54" t="n"/>
      <c r="U19" s="54" t="n"/>
      <c r="Y19" t="inlineStr">
        <is>
          <t>Mirtazapine</t>
        </is>
      </c>
    </row>
    <row r="20" ht="17" customHeight="1">
      <c r="A20" s="62">
        <f>A18+1</f>
        <v/>
      </c>
      <c r="B20" s="63" t="inlineStr">
        <is>
          <t>AM
PM</t>
        </is>
      </c>
      <c r="C20" s="29" t="n"/>
      <c r="D20" s="53">
        <f>IF(AND($D10&gt;0,$D10+1=3),"R/C",IF(AND($D10&gt;=3,OR(ISNUMBER(SEARCH("SID",C13)),ISNUMBER(SEARCH("BID",C13)))),"◯",""))</f>
        <v/>
      </c>
      <c r="E20" s="31" t="n"/>
      <c r="F20" s="29" t="n"/>
      <c r="G20" s="53">
        <f>IF(AND($G10&gt;0,$G10+1=3),"R/C",IF(AND($G10&gt;=3,OR(ISNUMBER(SEARCH("SID",F13)),ISNUMBER(SEARCH("BID",F13)))),"◯",""))</f>
        <v/>
      </c>
      <c r="H20" s="31" t="n"/>
      <c r="I20" s="29" t="n"/>
      <c r="J20" s="53">
        <f>IF(AND($J10&gt;0,$J10+1=3),"R/C",IF(AND($J10&gt;=3,OR(ISNUMBER(SEARCH("SID",I13)),ISNUMBER(SEARCH("BID",I13)))),"◯",""))</f>
        <v/>
      </c>
      <c r="K20" s="31" t="n"/>
      <c r="L20" s="29" t="n"/>
      <c r="M20" s="53">
        <f>IF(AND($M10&gt;0,$M10+1=3),"R/C",IF(AND($M10&gt;=3,OR(ISNUMBER(SEARCH("SID",L13)),ISNUMBER(SEARCH("BID",L13)))),"◯",""))</f>
        <v/>
      </c>
      <c r="N20" s="31" t="n"/>
      <c r="O20" s="29" t="n"/>
      <c r="P20" s="53">
        <f>IF(AND($P10&gt;0,$P10+1=3),"R/C",IF(AND($P10&gt;=3,OR(ISNUMBER(SEARCH("SID",O13)),ISNUMBER(SEARCH("BID",O13)))),"◯",""))</f>
        <v/>
      </c>
      <c r="Q20" s="32" t="n"/>
      <c r="R20" s="60" t="n"/>
      <c r="S20" s="60" t="n"/>
      <c r="T20" s="60" t="n"/>
      <c r="U20" s="60" t="n"/>
      <c r="Y20" t="inlineStr">
        <is>
          <t>Mirtazapine 1.88mg (transdermal)</t>
        </is>
      </c>
    </row>
    <row r="21" ht="17" customHeight="1">
      <c r="A21" s="54" t="n"/>
      <c r="B21" s="54" t="n"/>
      <c r="C21" s="34" t="n"/>
      <c r="D21" s="55">
        <f>IF(AND($D10&gt;=3,ISNUMBER(SEARCH("BID",C13))),"◯","")</f>
        <v/>
      </c>
      <c r="E21" s="5" t="n"/>
      <c r="F21" s="34" t="n"/>
      <c r="G21" s="55">
        <f>IF(AND($G10&gt;=3,ISNUMBER(SEARCH("BID",F13))),"◯","")</f>
        <v/>
      </c>
      <c r="H21" s="5" t="n"/>
      <c r="I21" s="34" t="n"/>
      <c r="J21" s="55">
        <f>IF(AND($J10&gt;=3,ISNUMBER(SEARCH("BID",I13))),"◯","")</f>
        <v/>
      </c>
      <c r="K21" s="5" t="n"/>
      <c r="L21" s="34" t="n"/>
      <c r="M21" s="55">
        <f>IF(AND($M10&gt;=3,ISNUMBER(SEARCH("BID",L13))),"◯","")</f>
        <v/>
      </c>
      <c r="N21" s="5" t="n"/>
      <c r="O21" s="34" t="n"/>
      <c r="P21" s="55">
        <f>IF(AND($P10&gt;=3,ISNUMBER(SEARCH("BID",O13))),"◯","")</f>
        <v/>
      </c>
      <c r="Q21" s="15" t="n"/>
      <c r="R21" s="54" t="n"/>
      <c r="S21" s="54" t="n"/>
      <c r="T21" s="54" t="n"/>
      <c r="U21" s="54" t="n"/>
      <c r="Y21" t="inlineStr">
        <is>
          <t>Doxybrom</t>
        </is>
      </c>
    </row>
    <row r="22" ht="17" customHeight="1">
      <c r="A22" s="62">
        <f>A20+1</f>
        <v/>
      </c>
      <c r="B22" s="63" t="inlineStr">
        <is>
          <t>AM
PM</t>
        </is>
      </c>
      <c r="C22" s="29" t="n"/>
      <c r="D22" s="53">
        <f>IF(AND($D10&gt;0,$D10+1=4),"R/C",IF(AND($D10&gt;=4,OR(ISNUMBER(SEARCH("SID",C13)),ISNUMBER(SEARCH("BID",C13)))),"◯",""))</f>
        <v/>
      </c>
      <c r="E22" s="31" t="n"/>
      <c r="F22" s="29" t="n"/>
      <c r="G22" s="53">
        <f>IF(AND($G10&gt;0,$G10+1=4),"R/C",IF(AND($G10&gt;=4,OR(ISNUMBER(SEARCH("SID",F13)),ISNUMBER(SEARCH("BID",F13)))),"◯",""))</f>
        <v/>
      </c>
      <c r="H22" s="31" t="n"/>
      <c r="I22" s="29" t="n"/>
      <c r="J22" s="53">
        <f>IF(AND($J10&gt;0,$J10+1=4),"R/C",IF(AND($J10&gt;=4,OR(ISNUMBER(SEARCH("SID",I13)),ISNUMBER(SEARCH("BID",I13)))),"◯",""))</f>
        <v/>
      </c>
      <c r="K22" s="31" t="n"/>
      <c r="L22" s="29" t="n"/>
      <c r="M22" s="53">
        <f>IF(AND($M10&gt;0,$M10+1=4),"R/C",IF(AND($M10&gt;=4,OR(ISNUMBER(SEARCH("SID",L13)),ISNUMBER(SEARCH("BID",L13)))),"◯",""))</f>
        <v/>
      </c>
      <c r="N22" s="31" t="n"/>
      <c r="O22" s="29" t="n"/>
      <c r="P22" s="53">
        <f>IF(AND($P10&gt;0,$P10+1=4),"R/C",IF(AND($P10&gt;=4,OR(ISNUMBER(SEARCH("SID",O13)),ISNUMBER(SEARCH("BID",O13)))),"◯",""))</f>
        <v/>
      </c>
      <c r="Q22" s="32" t="n"/>
      <c r="R22" s="60" t="n"/>
      <c r="S22" s="60" t="n"/>
      <c r="T22" s="60" t="n"/>
      <c r="U22" s="60" t="n"/>
      <c r="Y22" t="inlineStr">
        <is>
          <t>Buprenorphine</t>
        </is>
      </c>
    </row>
    <row r="23" ht="17" customHeight="1">
      <c r="A23" s="54" t="n"/>
      <c r="B23" s="54" t="n"/>
      <c r="C23" s="34" t="n"/>
      <c r="D23" s="55">
        <f>IF(AND($D10&gt;=4,ISNUMBER(SEARCH("BID",C13))),"◯","")</f>
        <v/>
      </c>
      <c r="E23" s="5" t="n"/>
      <c r="F23" s="34" t="n"/>
      <c r="G23" s="55">
        <f>IF(AND($G10&gt;=4,ISNUMBER(SEARCH("BID",F13))),"◯","")</f>
        <v/>
      </c>
      <c r="H23" s="5" t="n"/>
      <c r="I23" s="34" t="n"/>
      <c r="J23" s="55">
        <f>IF(AND($J10&gt;=4,ISNUMBER(SEARCH("BID",I13))),"◯","")</f>
        <v/>
      </c>
      <c r="K23" s="5" t="n"/>
      <c r="L23" s="34" t="n"/>
      <c r="M23" s="55">
        <f>IF(AND($M10&gt;=4,ISNUMBER(SEARCH("BID",L13))),"◯","")</f>
        <v/>
      </c>
      <c r="N23" s="5" t="n"/>
      <c r="O23" s="34" t="n"/>
      <c r="P23" s="55">
        <f>IF(AND($P10&gt;=4,ISNUMBER(SEARCH("BID",O13))),"◯","")</f>
        <v/>
      </c>
      <c r="Q23" s="15" t="n"/>
      <c r="R23" s="54" t="n"/>
      <c r="S23" s="54" t="n"/>
      <c r="T23" s="54" t="n"/>
      <c r="U23" s="54" t="n"/>
      <c r="Y23" t="inlineStr">
        <is>
          <t>Other (type in box)</t>
        </is>
      </c>
    </row>
    <row r="24" ht="17" customHeight="1">
      <c r="A24" s="62">
        <f>A22+1</f>
        <v/>
      </c>
      <c r="B24" s="63" t="inlineStr">
        <is>
          <t>AM
PM</t>
        </is>
      </c>
      <c r="C24" s="29" t="n"/>
      <c r="D24" s="53">
        <f>IF(AND($D10&gt;0,$D10+1=5),"R/C",IF(AND($D10&gt;=5,OR(ISNUMBER(SEARCH("SID",C13)),ISNUMBER(SEARCH("BID",C13)))),"◯",""))</f>
        <v/>
      </c>
      <c r="E24" s="31" t="n"/>
      <c r="F24" s="29" t="n"/>
      <c r="G24" s="53">
        <f>IF(AND($G10&gt;0,$G10+1=5),"R/C",IF(AND($G10&gt;=5,OR(ISNUMBER(SEARCH("SID",F13)),ISNUMBER(SEARCH("BID",F13)))),"◯",""))</f>
        <v/>
      </c>
      <c r="H24" s="31" t="n"/>
      <c r="I24" s="29" t="n"/>
      <c r="J24" s="53">
        <f>IF(AND($J10&gt;0,$J10+1=5),"R/C",IF(AND($J10&gt;=5,OR(ISNUMBER(SEARCH("SID",I13)),ISNUMBER(SEARCH("BID",I13)))),"◯",""))</f>
        <v/>
      </c>
      <c r="K24" s="31" t="n"/>
      <c r="L24" s="29" t="n"/>
      <c r="M24" s="53">
        <f>IF(AND($M10&gt;0,$M10+1=5),"R/C",IF(AND($M10&gt;=5,OR(ISNUMBER(SEARCH("SID",L13)),ISNUMBER(SEARCH("BID",L13)))),"◯",""))</f>
        <v/>
      </c>
      <c r="N24" s="31" t="n"/>
      <c r="O24" s="29" t="n"/>
      <c r="P24" s="53">
        <f>IF(AND($P10&gt;0,$P10+1=5),"R/C",IF(AND($P10&gt;=5,OR(ISNUMBER(SEARCH("SID",O13)),ISNUMBER(SEARCH("BID",O13)))),"◯",""))</f>
        <v/>
      </c>
      <c r="Q24" s="32" t="n"/>
      <c r="R24" s="60" t="n"/>
      <c r="S24" s="60" t="n"/>
      <c r="T24" s="60" t="n"/>
      <c r="U24" s="60" t="n"/>
    </row>
    <row r="25" ht="17" customHeight="1">
      <c r="A25" s="54" t="n"/>
      <c r="B25" s="54" t="n"/>
      <c r="C25" s="34" t="n"/>
      <c r="D25" s="55">
        <f>IF(AND($D10&gt;=5,ISNUMBER(SEARCH("BID",C13))),"◯","")</f>
        <v/>
      </c>
      <c r="E25" s="5" t="n"/>
      <c r="F25" s="34" t="n"/>
      <c r="G25" s="55">
        <f>IF(AND($G10&gt;=5,ISNUMBER(SEARCH("BID",F13))),"◯","")</f>
        <v/>
      </c>
      <c r="H25" s="5" t="n"/>
      <c r="I25" s="34" t="n"/>
      <c r="J25" s="55">
        <f>IF(AND($J10&gt;=5,ISNUMBER(SEARCH("BID",I13))),"◯","")</f>
        <v/>
      </c>
      <c r="K25" s="5" t="n"/>
      <c r="L25" s="34" t="n"/>
      <c r="M25" s="55">
        <f>IF(AND($M10&gt;=5,ISNUMBER(SEARCH("BID",L13))),"◯","")</f>
        <v/>
      </c>
      <c r="N25" s="5" t="n"/>
      <c r="O25" s="34" t="n"/>
      <c r="P25" s="55">
        <f>IF(AND($P10&gt;=5,ISNUMBER(SEARCH("BID",O13))),"◯","")</f>
        <v/>
      </c>
      <c r="Q25" s="15" t="n"/>
      <c r="R25" s="54" t="n"/>
      <c r="S25" s="54" t="n"/>
      <c r="T25" s="54" t="n"/>
      <c r="U25" s="54" t="n"/>
    </row>
    <row r="26" ht="17" customHeight="1">
      <c r="A26" s="62">
        <f>A24+1</f>
        <v/>
      </c>
      <c r="B26" s="63" t="inlineStr">
        <is>
          <t>AM
PM</t>
        </is>
      </c>
      <c r="C26" s="29" t="n"/>
      <c r="D26" s="53">
        <f>IF(AND($D10&gt;0,$D10+1=6),"R/C",IF(AND($D10&gt;=6,OR(ISNUMBER(SEARCH("SID",C13)),ISNUMBER(SEARCH("BID",C13)))),"◯",""))</f>
        <v/>
      </c>
      <c r="E26" s="31" t="n"/>
      <c r="F26" s="29" t="n"/>
      <c r="G26" s="53">
        <f>IF(AND($G10&gt;0,$G10+1=6),"R/C",IF(AND($G10&gt;=6,OR(ISNUMBER(SEARCH("SID",F13)),ISNUMBER(SEARCH("BID",F13)))),"◯",""))</f>
        <v/>
      </c>
      <c r="H26" s="31" t="n"/>
      <c r="I26" s="29" t="n"/>
      <c r="J26" s="53">
        <f>IF(AND($J10&gt;0,$J10+1=6),"R/C",IF(AND($J10&gt;=6,OR(ISNUMBER(SEARCH("SID",I13)),ISNUMBER(SEARCH("BID",I13)))),"◯",""))</f>
        <v/>
      </c>
      <c r="K26" s="31" t="n"/>
      <c r="L26" s="29" t="n"/>
      <c r="M26" s="53">
        <f>IF(AND($M10&gt;0,$M10+1=6),"R/C",IF(AND($M10&gt;=6,OR(ISNUMBER(SEARCH("SID",L13)),ISNUMBER(SEARCH("BID",L13)))),"◯",""))</f>
        <v/>
      </c>
      <c r="N26" s="31" t="n"/>
      <c r="O26" s="29" t="n"/>
      <c r="P26" s="53">
        <f>IF(AND($P10&gt;0,$P10+1=6),"R/C",IF(AND($P10&gt;=6,OR(ISNUMBER(SEARCH("SID",O13)),ISNUMBER(SEARCH("BID",O13)))),"◯",""))</f>
        <v/>
      </c>
      <c r="Q26" s="32" t="n"/>
      <c r="R26" s="60" t="n"/>
      <c r="S26" s="60" t="n"/>
      <c r="T26" s="60" t="n"/>
      <c r="U26" s="60" t="n"/>
    </row>
    <row r="27" ht="17" customHeight="1">
      <c r="A27" s="54" t="n"/>
      <c r="B27" s="54" t="n"/>
      <c r="C27" s="34" t="n"/>
      <c r="D27" s="55">
        <f>IF(AND($D10&gt;=6,ISNUMBER(SEARCH("BID",C13))),"◯","")</f>
        <v/>
      </c>
      <c r="E27" s="5" t="n"/>
      <c r="F27" s="34" t="n"/>
      <c r="G27" s="55">
        <f>IF(AND($G10&gt;=6,ISNUMBER(SEARCH("BID",F13))),"◯","")</f>
        <v/>
      </c>
      <c r="H27" s="5" t="n"/>
      <c r="I27" s="34" t="n"/>
      <c r="J27" s="55">
        <f>IF(AND($J10&gt;=6,ISNUMBER(SEARCH("BID",I13))),"◯","")</f>
        <v/>
      </c>
      <c r="K27" s="5" t="n"/>
      <c r="L27" s="34" t="n"/>
      <c r="M27" s="55">
        <f>IF(AND($M10&gt;=6,ISNUMBER(SEARCH("BID",L13))),"◯","")</f>
        <v/>
      </c>
      <c r="N27" s="5" t="n"/>
      <c r="O27" s="34" t="n"/>
      <c r="P27" s="55">
        <f>IF(AND($P10&gt;=6,ISNUMBER(SEARCH("BID",O13))),"◯","")</f>
        <v/>
      </c>
      <c r="Q27" s="15" t="n"/>
      <c r="R27" s="54" t="n"/>
      <c r="S27" s="54" t="n"/>
      <c r="T27" s="54" t="n"/>
      <c r="U27" s="54" t="n"/>
    </row>
    <row r="28" ht="17" customHeight="1">
      <c r="A28" s="62">
        <f>A26+1</f>
        <v/>
      </c>
      <c r="B28" s="63" t="inlineStr">
        <is>
          <t>AM
PM</t>
        </is>
      </c>
      <c r="C28" s="29" t="n"/>
      <c r="D28" s="53">
        <f>IF(AND($D10&gt;0,$D10+1=7),"R/C",IF(AND($D10&gt;=7,OR(ISNUMBER(SEARCH("SID",C13)),ISNUMBER(SEARCH("BID",C13)))),"◯",""))</f>
        <v/>
      </c>
      <c r="E28" s="31" t="n"/>
      <c r="F28" s="29" t="n"/>
      <c r="G28" s="53">
        <f>IF(AND($G10&gt;0,$G10+1=7),"R/C",IF(AND($G10&gt;=7,OR(ISNUMBER(SEARCH("SID",F13)),ISNUMBER(SEARCH("BID",F13)))),"◯",""))</f>
        <v/>
      </c>
      <c r="H28" s="31" t="n"/>
      <c r="I28" s="29" t="n"/>
      <c r="J28" s="53">
        <f>IF(AND($J10&gt;0,$J10+1=7),"R/C",IF(AND($J10&gt;=7,OR(ISNUMBER(SEARCH("SID",I13)),ISNUMBER(SEARCH("BID",I13)))),"◯",""))</f>
        <v/>
      </c>
      <c r="K28" s="31" t="n"/>
      <c r="L28" s="29" t="n"/>
      <c r="M28" s="53">
        <f>IF(AND($M10&gt;0,$M10+1=7),"R/C",IF(AND($M10&gt;=7,OR(ISNUMBER(SEARCH("SID",L13)),ISNUMBER(SEARCH("BID",L13)))),"◯",""))</f>
        <v/>
      </c>
      <c r="N28" s="31" t="n"/>
      <c r="O28" s="29" t="n"/>
      <c r="P28" s="53">
        <f>IF(AND($P10&gt;0,$P10+1=7),"R/C",IF(AND($P10&gt;=7,OR(ISNUMBER(SEARCH("SID",O13)),ISNUMBER(SEARCH("BID",O13)))),"◯",""))</f>
        <v/>
      </c>
      <c r="Q28" s="32" t="n"/>
      <c r="R28" s="60" t="n"/>
      <c r="S28" s="60" t="n"/>
      <c r="T28" s="60" t="n"/>
      <c r="U28" s="60" t="n"/>
    </row>
    <row r="29" ht="17" customHeight="1">
      <c r="A29" s="54" t="n"/>
      <c r="B29" s="54" t="n"/>
      <c r="C29" s="34" t="n"/>
      <c r="D29" s="55">
        <f>IF(AND($D10&gt;=7,ISNUMBER(SEARCH("BID",C13))),"◯","")</f>
        <v/>
      </c>
      <c r="E29" s="5" t="n"/>
      <c r="F29" s="34" t="n"/>
      <c r="G29" s="55">
        <f>IF(AND($G10&gt;=7,ISNUMBER(SEARCH("BID",F13))),"◯","")</f>
        <v/>
      </c>
      <c r="H29" s="5" t="n"/>
      <c r="I29" s="34" t="n"/>
      <c r="J29" s="55">
        <f>IF(AND($J10&gt;=7,ISNUMBER(SEARCH("BID",I13))),"◯","")</f>
        <v/>
      </c>
      <c r="K29" s="5" t="n"/>
      <c r="L29" s="34" t="n"/>
      <c r="M29" s="55">
        <f>IF(AND($M10&gt;=7,ISNUMBER(SEARCH("BID",L13))),"◯","")</f>
        <v/>
      </c>
      <c r="N29" s="5" t="n"/>
      <c r="O29" s="34" t="n"/>
      <c r="P29" s="55">
        <f>IF(AND($P10&gt;=7,ISNUMBER(SEARCH("BID",O13))),"◯","")</f>
        <v/>
      </c>
      <c r="Q29" s="15" t="n"/>
      <c r="R29" s="54" t="n"/>
      <c r="S29" s="54" t="n"/>
      <c r="T29" s="54" t="n"/>
      <c r="U29" s="54" t="n"/>
    </row>
    <row r="30" ht="17" customHeight="1">
      <c r="A30" s="62">
        <f>A28+1</f>
        <v/>
      </c>
      <c r="B30" s="63" t="inlineStr">
        <is>
          <t>AM
PM</t>
        </is>
      </c>
      <c r="C30" s="29" t="n"/>
      <c r="D30" s="53">
        <f>IF(AND($D10&gt;0,$D10+1=8),"R/C",IF(AND($D10&gt;=8,OR(ISNUMBER(SEARCH("SID",C13)),ISNUMBER(SEARCH("BID",C13)))),"◯",""))</f>
        <v/>
      </c>
      <c r="E30" s="31" t="n"/>
      <c r="F30" s="29" t="n"/>
      <c r="G30" s="53">
        <f>IF(AND($G10&gt;0,$G10+1=8),"R/C",IF(AND($G10&gt;=8,OR(ISNUMBER(SEARCH("SID",F13)),ISNUMBER(SEARCH("BID",F13)))),"◯",""))</f>
        <v/>
      </c>
      <c r="H30" s="31" t="n"/>
      <c r="I30" s="29" t="n"/>
      <c r="J30" s="53">
        <f>IF(AND($J10&gt;0,$J10+1=8),"R/C",IF(AND($J10&gt;=8,OR(ISNUMBER(SEARCH("SID",I13)),ISNUMBER(SEARCH("BID",I13)))),"◯",""))</f>
        <v/>
      </c>
      <c r="K30" s="31" t="n"/>
      <c r="L30" s="29" t="n"/>
      <c r="M30" s="53">
        <f>IF(AND($M10&gt;0,$M10+1=8),"R/C",IF(AND($M10&gt;=8,OR(ISNUMBER(SEARCH("SID",L13)),ISNUMBER(SEARCH("BID",L13)))),"◯",""))</f>
        <v/>
      </c>
      <c r="N30" s="31" t="n"/>
      <c r="O30" s="29" t="n"/>
      <c r="P30" s="53">
        <f>IF(AND($P10&gt;0,$P10+1=8),"R/C",IF(AND($P10&gt;=8,OR(ISNUMBER(SEARCH("SID",O13)),ISNUMBER(SEARCH("BID",O13)))),"◯",""))</f>
        <v/>
      </c>
      <c r="Q30" s="32" t="n"/>
      <c r="R30" s="60" t="n"/>
      <c r="S30" s="60" t="n"/>
      <c r="T30" s="60" t="n"/>
      <c r="U30" s="60" t="n"/>
    </row>
    <row r="31" ht="17" customHeight="1">
      <c r="A31" s="54" t="n"/>
      <c r="B31" s="54" t="n"/>
      <c r="C31" s="34" t="n"/>
      <c r="D31" s="55">
        <f>IF(AND($D10&gt;=8,ISNUMBER(SEARCH("BID",C13))),"◯","")</f>
        <v/>
      </c>
      <c r="E31" s="5" t="n"/>
      <c r="F31" s="34" t="n"/>
      <c r="G31" s="55">
        <f>IF(AND($G10&gt;=8,ISNUMBER(SEARCH("BID",F13))),"◯","")</f>
        <v/>
      </c>
      <c r="H31" s="5" t="n"/>
      <c r="I31" s="34" t="n"/>
      <c r="J31" s="55">
        <f>IF(AND($J10&gt;=8,ISNUMBER(SEARCH("BID",I13))),"◯","")</f>
        <v/>
      </c>
      <c r="K31" s="5" t="n"/>
      <c r="L31" s="34" t="n"/>
      <c r="M31" s="55">
        <f>IF(AND($M10&gt;=8,ISNUMBER(SEARCH("BID",L13))),"◯","")</f>
        <v/>
      </c>
      <c r="N31" s="5" t="n"/>
      <c r="O31" s="34" t="n"/>
      <c r="P31" s="55">
        <f>IF(AND($P10&gt;=8,ISNUMBER(SEARCH("BID",O13))),"◯","")</f>
        <v/>
      </c>
      <c r="Q31" s="15" t="n"/>
      <c r="R31" s="54" t="n"/>
      <c r="S31" s="54" t="n"/>
      <c r="T31" s="54" t="n"/>
      <c r="U31" s="54" t="n"/>
    </row>
    <row r="32" ht="17" customHeight="1">
      <c r="A32" s="62">
        <f>A30+1</f>
        <v/>
      </c>
      <c r="B32" s="63" t="inlineStr">
        <is>
          <t>AM
PM</t>
        </is>
      </c>
      <c r="C32" s="29" t="n"/>
      <c r="D32" s="53">
        <f>IF(AND($D10&gt;0,$D10+1=9),"R/C",IF(AND($D10&gt;=9,OR(ISNUMBER(SEARCH("SID",C13)),ISNUMBER(SEARCH("BID",C13)))),"◯",""))</f>
        <v/>
      </c>
      <c r="E32" s="31" t="n"/>
      <c r="F32" s="29" t="n"/>
      <c r="G32" s="53">
        <f>IF(AND($G10&gt;0,$G10+1=9),"R/C",IF(AND($G10&gt;=9,OR(ISNUMBER(SEARCH("SID",F13)),ISNUMBER(SEARCH("BID",F13)))),"◯",""))</f>
        <v/>
      </c>
      <c r="H32" s="31" t="n"/>
      <c r="I32" s="29" t="n"/>
      <c r="J32" s="53">
        <f>IF(AND($J10&gt;0,$J10+1=9),"R/C",IF(AND($J10&gt;=9,OR(ISNUMBER(SEARCH("SID",I13)),ISNUMBER(SEARCH("BID",I13)))),"◯",""))</f>
        <v/>
      </c>
      <c r="K32" s="31" t="n"/>
      <c r="L32" s="29" t="n"/>
      <c r="M32" s="53">
        <f>IF(AND($M10&gt;0,$M10+1=9),"R/C",IF(AND($M10&gt;=9,OR(ISNUMBER(SEARCH("SID",L13)),ISNUMBER(SEARCH("BID",L13)))),"◯",""))</f>
        <v/>
      </c>
      <c r="N32" s="31" t="n"/>
      <c r="O32" s="29" t="n"/>
      <c r="P32" s="53">
        <f>IF(AND($P10&gt;0,$P10+1=9),"R/C",IF(AND($P10&gt;=9,OR(ISNUMBER(SEARCH("SID",O13)),ISNUMBER(SEARCH("BID",O13)))),"◯",""))</f>
        <v/>
      </c>
      <c r="Q32" s="32" t="n"/>
      <c r="R32" s="60" t="n"/>
      <c r="S32" s="60" t="n"/>
      <c r="T32" s="60" t="n"/>
      <c r="U32" s="60" t="n"/>
    </row>
    <row r="33" ht="17" customHeight="1">
      <c r="A33" s="54" t="n"/>
      <c r="B33" s="54" t="n"/>
      <c r="C33" s="34" t="n"/>
      <c r="D33" s="55">
        <f>IF(AND($D10&gt;=9,ISNUMBER(SEARCH("BID",C13))),"◯","")</f>
        <v/>
      </c>
      <c r="E33" s="5" t="n"/>
      <c r="F33" s="34" t="n"/>
      <c r="G33" s="55">
        <f>IF(AND($G10&gt;=9,ISNUMBER(SEARCH("BID",F13))),"◯","")</f>
        <v/>
      </c>
      <c r="H33" s="5" t="n"/>
      <c r="I33" s="34" t="n"/>
      <c r="J33" s="55">
        <f>IF(AND($J10&gt;=9,ISNUMBER(SEARCH("BID",I13))),"◯","")</f>
        <v/>
      </c>
      <c r="K33" s="5" t="n"/>
      <c r="L33" s="34" t="n"/>
      <c r="M33" s="55">
        <f>IF(AND($M10&gt;=9,ISNUMBER(SEARCH("BID",L13))),"◯","")</f>
        <v/>
      </c>
      <c r="N33" s="5" t="n"/>
      <c r="O33" s="34" t="n"/>
      <c r="P33" s="55">
        <f>IF(AND($P10&gt;=9,ISNUMBER(SEARCH("BID",O13))),"◯","")</f>
        <v/>
      </c>
      <c r="Q33" s="15" t="n"/>
      <c r="R33" s="54" t="n"/>
      <c r="S33" s="54" t="n"/>
      <c r="T33" s="54" t="n"/>
      <c r="U33" s="54" t="n"/>
    </row>
    <row r="34" ht="17" customHeight="1">
      <c r="A34" s="62">
        <f>A32+1</f>
        <v/>
      </c>
      <c r="B34" s="63" t="inlineStr">
        <is>
          <t>AM
PM</t>
        </is>
      </c>
      <c r="C34" s="29" t="n"/>
      <c r="D34" s="53">
        <f>IF(AND($D10&gt;0,$D10+1=10),"R/C",IF(AND($D10&gt;=10,OR(ISNUMBER(SEARCH("SID",C13)),ISNUMBER(SEARCH("BID",C13)))),"◯",""))</f>
        <v/>
      </c>
      <c r="E34" s="31" t="n"/>
      <c r="F34" s="29" t="n"/>
      <c r="G34" s="53">
        <f>IF(AND($G10&gt;0,$G10+1=10),"R/C",IF(AND($G10&gt;=10,OR(ISNUMBER(SEARCH("SID",F13)),ISNUMBER(SEARCH("BID",F13)))),"◯",""))</f>
        <v/>
      </c>
      <c r="H34" s="31" t="n"/>
      <c r="I34" s="29" t="n"/>
      <c r="J34" s="53">
        <f>IF(AND($J10&gt;0,$J10+1=10),"R/C",IF(AND($J10&gt;=10,OR(ISNUMBER(SEARCH("SID",I13)),ISNUMBER(SEARCH("BID",I13)))),"◯",""))</f>
        <v/>
      </c>
      <c r="K34" s="31" t="n"/>
      <c r="L34" s="29" t="n"/>
      <c r="M34" s="53">
        <f>IF(AND($M10&gt;0,$M10+1=10),"R/C",IF(AND($M10&gt;=10,OR(ISNUMBER(SEARCH("SID",L13)),ISNUMBER(SEARCH("BID",L13)))),"◯",""))</f>
        <v/>
      </c>
      <c r="N34" s="31" t="n"/>
      <c r="O34" s="29" t="n"/>
      <c r="P34" s="53">
        <f>IF(AND($P10&gt;0,$P10+1=10),"R/C",IF(AND($P10&gt;=10,OR(ISNUMBER(SEARCH("SID",O13)),ISNUMBER(SEARCH("BID",O13)))),"◯",""))</f>
        <v/>
      </c>
      <c r="Q34" s="32" t="n"/>
      <c r="R34" s="60" t="n"/>
      <c r="S34" s="60" t="n"/>
      <c r="T34" s="60" t="n"/>
      <c r="U34" s="60" t="n"/>
    </row>
    <row r="35" ht="17" customHeight="1">
      <c r="A35" s="54" t="n"/>
      <c r="B35" s="54" t="n"/>
      <c r="C35" s="34" t="n"/>
      <c r="D35" s="55">
        <f>IF(AND($D10&gt;=10,ISNUMBER(SEARCH("BID",C13))),"◯","")</f>
        <v/>
      </c>
      <c r="E35" s="5" t="n"/>
      <c r="F35" s="34" t="n"/>
      <c r="G35" s="55">
        <f>IF(AND($G10&gt;=10,ISNUMBER(SEARCH("BID",F13))),"◯","")</f>
        <v/>
      </c>
      <c r="H35" s="5" t="n"/>
      <c r="I35" s="34" t="n"/>
      <c r="J35" s="55">
        <f>IF(AND($J10&gt;=10,ISNUMBER(SEARCH("BID",I13))),"◯","")</f>
        <v/>
      </c>
      <c r="K35" s="5" t="n"/>
      <c r="L35" s="34" t="n"/>
      <c r="M35" s="55">
        <f>IF(AND($M10&gt;=10,ISNUMBER(SEARCH("BID",L13))),"◯","")</f>
        <v/>
      </c>
      <c r="N35" s="5" t="n"/>
      <c r="O35" s="34" t="n"/>
      <c r="P35" s="55">
        <f>IF(AND($P10&gt;=10,ISNUMBER(SEARCH("BID",O13))),"◯","")</f>
        <v/>
      </c>
      <c r="Q35" s="15" t="n"/>
      <c r="R35" s="54" t="n"/>
      <c r="S35" s="54" t="n"/>
      <c r="T35" s="54" t="n"/>
      <c r="U35" s="54" t="n"/>
    </row>
    <row r="36" ht="17" customHeight="1">
      <c r="A36" s="62">
        <f>A34+1</f>
        <v/>
      </c>
      <c r="B36" s="63" t="inlineStr">
        <is>
          <t>AM
PM</t>
        </is>
      </c>
      <c r="C36" s="29" t="n"/>
      <c r="D36" s="53">
        <f>IF(AND($D10&gt;0,$D10+1=11),"R/C",IF(AND($D10&gt;=11,OR(ISNUMBER(SEARCH("SID",C13)),ISNUMBER(SEARCH("BID",C13)))),"◯",""))</f>
        <v/>
      </c>
      <c r="E36" s="31" t="n"/>
      <c r="F36" s="29" t="n"/>
      <c r="G36" s="53">
        <f>IF(AND($G10&gt;0,$G10+1=11),"R/C",IF(AND($G10&gt;=11,OR(ISNUMBER(SEARCH("SID",F13)),ISNUMBER(SEARCH("BID",F13)))),"◯",""))</f>
        <v/>
      </c>
      <c r="H36" s="31" t="n"/>
      <c r="I36" s="29" t="n"/>
      <c r="J36" s="53">
        <f>IF(AND($J10&gt;0,$J10+1=11),"R/C",IF(AND($J10&gt;=11,OR(ISNUMBER(SEARCH("SID",I13)),ISNUMBER(SEARCH("BID",I13)))),"◯",""))</f>
        <v/>
      </c>
      <c r="K36" s="31" t="n"/>
      <c r="L36" s="29" t="n"/>
      <c r="M36" s="53">
        <f>IF(AND($M10&gt;0,$M10+1=11),"R/C",IF(AND($M10&gt;=11,OR(ISNUMBER(SEARCH("SID",L13)),ISNUMBER(SEARCH("BID",L13)))),"◯",""))</f>
        <v/>
      </c>
      <c r="N36" s="31" t="n"/>
      <c r="O36" s="29" t="n"/>
      <c r="P36" s="53">
        <f>IF(AND($P10&gt;0,$P10+1=11),"R/C",IF(AND($P10&gt;=11,OR(ISNUMBER(SEARCH("SID",O13)),ISNUMBER(SEARCH("BID",O13)))),"◯",""))</f>
        <v/>
      </c>
      <c r="Q36" s="32" t="n"/>
      <c r="R36" s="60" t="n"/>
      <c r="S36" s="60" t="n"/>
      <c r="T36" s="60" t="n"/>
      <c r="U36" s="60" t="n"/>
    </row>
    <row r="37" ht="17" customHeight="1">
      <c r="A37" s="54" t="n"/>
      <c r="B37" s="54" t="n"/>
      <c r="C37" s="34" t="n"/>
      <c r="D37" s="55">
        <f>IF(AND($D10&gt;=11,ISNUMBER(SEARCH("BID",C13))),"◯","")</f>
        <v/>
      </c>
      <c r="E37" s="5" t="n"/>
      <c r="F37" s="34" t="n"/>
      <c r="G37" s="55">
        <f>IF(AND($G10&gt;=11,ISNUMBER(SEARCH("BID",F13))),"◯","")</f>
        <v/>
      </c>
      <c r="H37" s="5" t="n"/>
      <c r="I37" s="34" t="n"/>
      <c r="J37" s="55">
        <f>IF(AND($J10&gt;=11,ISNUMBER(SEARCH("BID",I13))),"◯","")</f>
        <v/>
      </c>
      <c r="K37" s="5" t="n"/>
      <c r="L37" s="34" t="n"/>
      <c r="M37" s="55">
        <f>IF(AND($M10&gt;=11,ISNUMBER(SEARCH("BID",L13))),"◯","")</f>
        <v/>
      </c>
      <c r="N37" s="5" t="n"/>
      <c r="O37" s="34" t="n"/>
      <c r="P37" s="55">
        <f>IF(AND($P10&gt;=11,ISNUMBER(SEARCH("BID",O13))),"◯","")</f>
        <v/>
      </c>
      <c r="Q37" s="15" t="n"/>
      <c r="R37" s="54" t="n"/>
      <c r="S37" s="54" t="n"/>
      <c r="T37" s="54" t="n"/>
      <c r="U37" s="54" t="n"/>
    </row>
    <row r="38" ht="17" customHeight="1">
      <c r="A38" s="62">
        <f>A36+1</f>
        <v/>
      </c>
      <c r="B38" s="63" t="inlineStr">
        <is>
          <t>AM
PM</t>
        </is>
      </c>
      <c r="C38" s="29" t="n"/>
      <c r="D38" s="53">
        <f>IF(AND($D10&gt;0,$D10+1=12),"R/C",IF(AND($D10&gt;=12,OR(ISNUMBER(SEARCH("SID",C13)),ISNUMBER(SEARCH("BID",C13)))),"◯",""))</f>
        <v/>
      </c>
      <c r="E38" s="31" t="n"/>
      <c r="F38" s="29" t="n"/>
      <c r="G38" s="53">
        <f>IF(AND($G10&gt;0,$G10+1=12),"R/C",IF(AND($G10&gt;=12,OR(ISNUMBER(SEARCH("SID",F13)),ISNUMBER(SEARCH("BID",F13)))),"◯",""))</f>
        <v/>
      </c>
      <c r="H38" s="31" t="n"/>
      <c r="I38" s="29" t="n"/>
      <c r="J38" s="53">
        <f>IF(AND($J10&gt;0,$J10+1=12),"R/C",IF(AND($J10&gt;=12,OR(ISNUMBER(SEARCH("SID",I13)),ISNUMBER(SEARCH("BID",I13)))),"◯",""))</f>
        <v/>
      </c>
      <c r="K38" s="31" t="n"/>
      <c r="L38" s="29" t="n"/>
      <c r="M38" s="53">
        <f>IF(AND($M10&gt;0,$M10+1=12),"R/C",IF(AND($M10&gt;=12,OR(ISNUMBER(SEARCH("SID",L13)),ISNUMBER(SEARCH("BID",L13)))),"◯",""))</f>
        <v/>
      </c>
      <c r="N38" s="31" t="n"/>
      <c r="O38" s="29" t="n"/>
      <c r="P38" s="53">
        <f>IF(AND($P10&gt;0,$P10+1=12),"R/C",IF(AND($P10&gt;=12,OR(ISNUMBER(SEARCH("SID",O13)),ISNUMBER(SEARCH("BID",O13)))),"◯",""))</f>
        <v/>
      </c>
      <c r="Q38" s="32" t="n"/>
      <c r="R38" s="60" t="n"/>
      <c r="S38" s="60" t="n"/>
      <c r="T38" s="60" t="n"/>
      <c r="U38" s="60" t="n"/>
    </row>
    <row r="39" ht="17" customHeight="1">
      <c r="A39" s="54" t="n"/>
      <c r="B39" s="54" t="n"/>
      <c r="C39" s="34" t="n"/>
      <c r="D39" s="55">
        <f>IF(AND($D10&gt;=12,ISNUMBER(SEARCH("BID",C13))),"◯","")</f>
        <v/>
      </c>
      <c r="E39" s="5" t="n"/>
      <c r="F39" s="34" t="n"/>
      <c r="G39" s="55">
        <f>IF(AND($G10&gt;=12,ISNUMBER(SEARCH("BID",F13))),"◯","")</f>
        <v/>
      </c>
      <c r="H39" s="5" t="n"/>
      <c r="I39" s="34" t="n"/>
      <c r="J39" s="55">
        <f>IF(AND($J10&gt;=12,ISNUMBER(SEARCH("BID",I13))),"◯","")</f>
        <v/>
      </c>
      <c r="K39" s="5" t="n"/>
      <c r="L39" s="34" t="n"/>
      <c r="M39" s="55">
        <f>IF(AND($M10&gt;=12,ISNUMBER(SEARCH("BID",L13))),"◯","")</f>
        <v/>
      </c>
      <c r="N39" s="5" t="n"/>
      <c r="O39" s="34" t="n"/>
      <c r="P39" s="55">
        <f>IF(AND($P10&gt;=12,ISNUMBER(SEARCH("BID",O13))),"◯","")</f>
        <v/>
      </c>
      <c r="Q39" s="15" t="n"/>
      <c r="R39" s="54" t="n"/>
      <c r="S39" s="54" t="n"/>
      <c r="T39" s="54" t="n"/>
      <c r="U39" s="54" t="n"/>
    </row>
    <row r="40" ht="17" customHeight="1">
      <c r="A40" s="62">
        <f>A38+1</f>
        <v/>
      </c>
      <c r="B40" s="63" t="inlineStr">
        <is>
          <t>AM
PM</t>
        </is>
      </c>
      <c r="C40" s="29" t="n"/>
      <c r="D40" s="53">
        <f>IF(AND($D10&gt;0,$D10+1=13),"R/C",IF(AND($D10&gt;=13,OR(ISNUMBER(SEARCH("SID",C13)),ISNUMBER(SEARCH("BID",C13)))),"◯",""))</f>
        <v/>
      </c>
      <c r="E40" s="31" t="n"/>
      <c r="F40" s="29" t="n"/>
      <c r="G40" s="53">
        <f>IF(AND($G10&gt;0,$G10+1=13),"R/C",IF(AND($G10&gt;=13,OR(ISNUMBER(SEARCH("SID",F13)),ISNUMBER(SEARCH("BID",F13)))),"◯",""))</f>
        <v/>
      </c>
      <c r="H40" s="31" t="n"/>
      <c r="I40" s="29" t="n"/>
      <c r="J40" s="53">
        <f>IF(AND($J10&gt;0,$J10+1=13),"R/C",IF(AND($J10&gt;=13,OR(ISNUMBER(SEARCH("SID",I13)),ISNUMBER(SEARCH("BID",I13)))),"◯",""))</f>
        <v/>
      </c>
      <c r="K40" s="31" t="n"/>
      <c r="L40" s="29" t="n"/>
      <c r="M40" s="53">
        <f>IF(AND($M10&gt;0,$M10+1=13),"R/C",IF(AND($M10&gt;=13,OR(ISNUMBER(SEARCH("SID",L13)),ISNUMBER(SEARCH("BID",L13)))),"◯",""))</f>
        <v/>
      </c>
      <c r="N40" s="31" t="n"/>
      <c r="O40" s="29" t="n"/>
      <c r="P40" s="53">
        <f>IF(AND($P10&gt;0,$P10+1=13),"R/C",IF(AND($P10&gt;=13,OR(ISNUMBER(SEARCH("SID",O13)),ISNUMBER(SEARCH("BID",O13)))),"◯",""))</f>
        <v/>
      </c>
      <c r="Q40" s="32" t="n"/>
      <c r="R40" s="60" t="n"/>
      <c r="S40" s="60" t="n"/>
      <c r="T40" s="60" t="n"/>
      <c r="U40" s="60" t="n"/>
    </row>
    <row r="41" ht="17" customHeight="1">
      <c r="A41" s="54" t="n"/>
      <c r="B41" s="54" t="n"/>
      <c r="C41" s="34" t="n"/>
      <c r="D41" s="55">
        <f>IF(AND($D10&gt;=13,ISNUMBER(SEARCH("BID",C13))),"◯","")</f>
        <v/>
      </c>
      <c r="E41" s="5" t="n"/>
      <c r="F41" s="34" t="n"/>
      <c r="G41" s="55">
        <f>IF(AND($G10&gt;=13,ISNUMBER(SEARCH("BID",F13))),"◯","")</f>
        <v/>
      </c>
      <c r="H41" s="5" t="n"/>
      <c r="I41" s="34" t="n"/>
      <c r="J41" s="55">
        <f>IF(AND($J10&gt;=13,ISNUMBER(SEARCH("BID",I13))),"◯","")</f>
        <v/>
      </c>
      <c r="K41" s="5" t="n"/>
      <c r="L41" s="34" t="n"/>
      <c r="M41" s="55">
        <f>IF(AND($M10&gt;=13,ISNUMBER(SEARCH("BID",L13))),"◯","")</f>
        <v/>
      </c>
      <c r="N41" s="5" t="n"/>
      <c r="O41" s="34" t="n"/>
      <c r="P41" s="55">
        <f>IF(AND($P10&gt;=13,ISNUMBER(SEARCH("BID",O13))),"◯","")</f>
        <v/>
      </c>
      <c r="Q41" s="15" t="n"/>
      <c r="R41" s="54" t="n"/>
      <c r="S41" s="54" t="n"/>
      <c r="T41" s="54" t="n"/>
      <c r="U41" s="54" t="n"/>
    </row>
    <row r="42" ht="17" customHeight="1">
      <c r="A42" s="62">
        <f>A40+1</f>
        <v/>
      </c>
      <c r="B42" s="63" t="inlineStr">
        <is>
          <t>AM
PM</t>
        </is>
      </c>
      <c r="C42" s="29" t="n"/>
      <c r="D42" s="53">
        <f>IF(AND($D10&gt;0,$D10+1=14),"R/C",IF(AND($D10&gt;=14,OR(ISNUMBER(SEARCH("SID",C13)),ISNUMBER(SEARCH("BID",C13)))),"◯",""))</f>
        <v/>
      </c>
      <c r="E42" s="31" t="n"/>
      <c r="F42" s="29" t="n"/>
      <c r="G42" s="53">
        <f>IF(AND($G10&gt;0,$G10+1=14),"R/C",IF(AND($G10&gt;=14,OR(ISNUMBER(SEARCH("SID",F13)),ISNUMBER(SEARCH("BID",F13)))),"◯",""))</f>
        <v/>
      </c>
      <c r="H42" s="31" t="n"/>
      <c r="I42" s="29" t="n"/>
      <c r="J42" s="53">
        <f>IF(AND($J10&gt;0,$J10+1=14),"R/C",IF(AND($J10&gt;=14,OR(ISNUMBER(SEARCH("SID",I13)),ISNUMBER(SEARCH("BID",I13)))),"◯",""))</f>
        <v/>
      </c>
      <c r="K42" s="31" t="n"/>
      <c r="L42" s="29" t="n"/>
      <c r="M42" s="53">
        <f>IF(AND($M10&gt;0,$M10+1=14),"R/C",IF(AND($M10&gt;=14,OR(ISNUMBER(SEARCH("SID",L13)),ISNUMBER(SEARCH("BID",L13)))),"◯",""))</f>
        <v/>
      </c>
      <c r="N42" s="31" t="n"/>
      <c r="O42" s="29" t="n"/>
      <c r="P42" s="53">
        <f>IF(AND($P10&gt;0,$P10+1=14),"R/C",IF(AND($P10&gt;=14,OR(ISNUMBER(SEARCH("SID",O13)),ISNUMBER(SEARCH("BID",O13)))),"◯",""))</f>
        <v/>
      </c>
      <c r="Q42" s="32" t="n"/>
      <c r="R42" s="60" t="n"/>
      <c r="S42" s="60" t="n"/>
      <c r="T42" s="60" t="n"/>
      <c r="U42" s="60" t="n"/>
    </row>
    <row r="43" ht="17" customHeight="1">
      <c r="A43" s="54" t="n"/>
      <c r="B43" s="54" t="n"/>
      <c r="C43" s="37" t="n"/>
      <c r="D43" s="56">
        <f>IF(AND($D10&gt;=14,ISNUMBER(SEARCH("BID",C13))),"◯","")</f>
        <v/>
      </c>
      <c r="E43" s="39" t="n"/>
      <c r="F43" s="37" t="n"/>
      <c r="G43" s="56">
        <f>IF(AND($G10&gt;=14,ISNUMBER(SEARCH("BID",F13))),"◯","")</f>
        <v/>
      </c>
      <c r="H43" s="39" t="n"/>
      <c r="I43" s="37" t="n"/>
      <c r="J43" s="56">
        <f>IF(AND($J10&gt;=14,ISNUMBER(SEARCH("BID",I13))),"◯","")</f>
        <v/>
      </c>
      <c r="K43" s="39" t="n"/>
      <c r="L43" s="37" t="n"/>
      <c r="M43" s="56">
        <f>IF(AND($M10&gt;=14,ISNUMBER(SEARCH("BID",L13))),"◯","")</f>
        <v/>
      </c>
      <c r="N43" s="39" t="n"/>
      <c r="O43" s="37" t="n"/>
      <c r="P43" s="56">
        <f>IF(AND($P10&gt;=14,ISNUMBER(SEARCH("BID",O13))),"◯","")</f>
        <v/>
      </c>
      <c r="Q43" s="40" t="n"/>
      <c r="R43" s="54" t="n"/>
      <c r="S43" s="54" t="n"/>
      <c r="T43" s="54" t="n"/>
      <c r="U43" s="54" t="n"/>
    </row>
    <row r="44" ht="4" customHeight="1"/>
    <row r="45" ht="12" customHeight="1">
      <c r="A45" s="41" t="inlineStr">
        <is>
          <t>Date Dispensed</t>
        </is>
      </c>
    </row>
    <row r="46" ht="12" customHeight="1">
      <c r="A46" s="42" t="inlineStr">
        <is>
          <t>Quantity</t>
        </is>
      </c>
    </row>
    <row r="47" ht="4" customHeight="1"/>
    <row r="48" ht="12" customHeight="1">
      <c r="A48" s="61" t="inlineStr">
        <is>
          <t>R/C = Recheck with vet before continuing / stopping medication.
E = Eating, D = Drinking, U = Urinating, D = Defecating — score 0-3 each visit.</t>
        </is>
      </c>
    </row>
  </sheetData>
  <mergeCells count="132">
    <mergeCell ref="F8:H8"/>
    <mergeCell ref="A16:A17"/>
    <mergeCell ref="R28:R29"/>
    <mergeCell ref="B42:B43"/>
    <mergeCell ref="U16:U17"/>
    <mergeCell ref="R30:R31"/>
    <mergeCell ref="S38:S39"/>
    <mergeCell ref="I8:K8"/>
    <mergeCell ref="L9:N9"/>
    <mergeCell ref="F9:H9"/>
    <mergeCell ref="S34:S35"/>
    <mergeCell ref="R42:R43"/>
    <mergeCell ref="B28:B29"/>
    <mergeCell ref="R32:R33"/>
    <mergeCell ref="S40:S41"/>
    <mergeCell ref="L11:N11"/>
    <mergeCell ref="F14:H14"/>
    <mergeCell ref="A22:A23"/>
    <mergeCell ref="N3:Q3"/>
    <mergeCell ref="A20:A21"/>
    <mergeCell ref="S20:S21"/>
    <mergeCell ref="U42:U43"/>
    <mergeCell ref="B40:B41"/>
    <mergeCell ref="U20:U21"/>
    <mergeCell ref="S22:S23"/>
    <mergeCell ref="U22:U23"/>
    <mergeCell ref="L13:N13"/>
    <mergeCell ref="O9:Q9"/>
    <mergeCell ref="A5:Q7"/>
    <mergeCell ref="A2:D2"/>
    <mergeCell ref="F12:H12"/>
    <mergeCell ref="B26:B27"/>
    <mergeCell ref="L15:N15"/>
    <mergeCell ref="U30:U31"/>
    <mergeCell ref="T38:T39"/>
    <mergeCell ref="L8:N8"/>
    <mergeCell ref="I12:K12"/>
    <mergeCell ref="C12:E12"/>
    <mergeCell ref="T40:T41"/>
    <mergeCell ref="E3:H3"/>
    <mergeCell ref="I14:K14"/>
    <mergeCell ref="A26:A27"/>
    <mergeCell ref="O12:Q12"/>
    <mergeCell ref="U32:U33"/>
    <mergeCell ref="R36:R37"/>
    <mergeCell ref="S24:S25"/>
    <mergeCell ref="U24:U25"/>
    <mergeCell ref="O14:Q14"/>
    <mergeCell ref="C13:E13"/>
    <mergeCell ref="O13:Q13"/>
    <mergeCell ref="E4:Q4"/>
    <mergeCell ref="U26:U27"/>
    <mergeCell ref="N2:Q2"/>
    <mergeCell ref="C15:E15"/>
    <mergeCell ref="F11:H11"/>
    <mergeCell ref="S16:S17"/>
    <mergeCell ref="B30:B31"/>
    <mergeCell ref="O15:Q15"/>
    <mergeCell ref="B32:B33"/>
    <mergeCell ref="S26:S27"/>
    <mergeCell ref="T32:T33"/>
    <mergeCell ref="T28:T29"/>
    <mergeCell ref="B16:B17"/>
    <mergeCell ref="L12:N12"/>
    <mergeCell ref="F15:H15"/>
    <mergeCell ref="T30:T31"/>
    <mergeCell ref="U34:U35"/>
    <mergeCell ref="B18:B19"/>
    <mergeCell ref="R38:R39"/>
    <mergeCell ref="L14:N14"/>
    <mergeCell ref="C9:E9"/>
    <mergeCell ref="R34:R35"/>
    <mergeCell ref="A36:A37"/>
    <mergeCell ref="R16:R17"/>
    <mergeCell ref="S42:S43"/>
    <mergeCell ref="U36:U37"/>
    <mergeCell ref="R40:R41"/>
    <mergeCell ref="C11:E11"/>
    <mergeCell ref="F13:H13"/>
    <mergeCell ref="R20:R21"/>
    <mergeCell ref="B34:B35"/>
    <mergeCell ref="S28:S29"/>
    <mergeCell ref="R26:R27"/>
    <mergeCell ref="I3:M3"/>
    <mergeCell ref="R22:R23"/>
    <mergeCell ref="I13:K13"/>
    <mergeCell ref="B36:B37"/>
    <mergeCell ref="T22:T23"/>
    <mergeCell ref="S30:S31"/>
    <mergeCell ref="E2:I2"/>
    <mergeCell ref="B20:B21"/>
    <mergeCell ref="T34:T35"/>
    <mergeCell ref="I15:K15"/>
    <mergeCell ref="S32:S33"/>
    <mergeCell ref="C14:E14"/>
    <mergeCell ref="A38:A39"/>
    <mergeCell ref="B22:B23"/>
    <mergeCell ref="U38:U39"/>
    <mergeCell ref="T42:T43"/>
    <mergeCell ref="A40:A41"/>
    <mergeCell ref="T20:T21"/>
    <mergeCell ref="U40:U41"/>
    <mergeCell ref="S18:S19"/>
    <mergeCell ref="A24:A25"/>
    <mergeCell ref="A4:D4"/>
    <mergeCell ref="B15"/>
    <mergeCell ref="J2:M2"/>
    <mergeCell ref="R24:R25"/>
    <mergeCell ref="B38:B39"/>
    <mergeCell ref="A1:Q1"/>
    <mergeCell ref="U28:U29"/>
    <mergeCell ref="C8:E8"/>
    <mergeCell ref="T26:T27"/>
    <mergeCell ref="O8:Q8"/>
    <mergeCell ref="A18:A19"/>
    <mergeCell ref="B24:B25"/>
    <mergeCell ref="O11:Q11"/>
    <mergeCell ref="U18:U19"/>
    <mergeCell ref="A32:A33"/>
    <mergeCell ref="A42:A43"/>
    <mergeCell ref="R18:R19"/>
    <mergeCell ref="I9:K9"/>
    <mergeCell ref="S36:S37"/>
    <mergeCell ref="I11:K11"/>
    <mergeCell ref="T16:T17"/>
    <mergeCell ref="A34:A35"/>
    <mergeCell ref="A28:A29"/>
    <mergeCell ref="A3:D3"/>
    <mergeCell ref="T24:T25"/>
    <mergeCell ref="T36:T37"/>
    <mergeCell ref="T18:T19"/>
    <mergeCell ref="A30:A31"/>
  </mergeCells>
  <conditionalFormatting sqref="C11">
    <cfRule type="expression" priority="1" dxfId="0">
      <formula>C11&lt;&gt;""</formula>
    </cfRule>
  </conditionalFormatting>
  <conditionalFormatting sqref="F11">
    <cfRule type="expression" priority="2" dxfId="0">
      <formula>F11&lt;&gt;""</formula>
    </cfRule>
  </conditionalFormatting>
  <conditionalFormatting sqref="I11">
    <cfRule type="expression" priority="3" dxfId="0">
      <formula>I11&lt;&gt;""</formula>
    </cfRule>
  </conditionalFormatting>
  <conditionalFormatting sqref="L11">
    <cfRule type="expression" priority="4" dxfId="0">
      <formula>L11&lt;&gt;""</formula>
    </cfRule>
  </conditionalFormatting>
  <conditionalFormatting sqref="O11">
    <cfRule type="expression" priority="5" dxfId="0">
      <formula>O11&lt;&gt;""</formula>
    </cfRule>
  </conditionalFormatting>
  <conditionalFormatting sqref="D16">
    <cfRule type="expression" priority="6" dxfId="1">
      <formula>D16="R/C"</formula>
    </cfRule>
  </conditionalFormatting>
  <conditionalFormatting sqref="G16">
    <cfRule type="expression" priority="7" dxfId="1">
      <formula>G16="R/C"</formula>
    </cfRule>
  </conditionalFormatting>
  <conditionalFormatting sqref="J16">
    <cfRule type="expression" priority="8" dxfId="1">
      <formula>J16="R/C"</formula>
    </cfRule>
  </conditionalFormatting>
  <conditionalFormatting sqref="M16">
    <cfRule type="expression" priority="9" dxfId="1">
      <formula>M16="R/C"</formula>
    </cfRule>
  </conditionalFormatting>
  <conditionalFormatting sqref="P16">
    <cfRule type="expression" priority="10" dxfId="1">
      <formula>P16="R/C"</formula>
    </cfRule>
  </conditionalFormatting>
  <conditionalFormatting sqref="D18">
    <cfRule type="expression" priority="11" dxfId="1">
      <formula>D18="R/C"</formula>
    </cfRule>
  </conditionalFormatting>
  <conditionalFormatting sqref="G18">
    <cfRule type="expression" priority="12" dxfId="1">
      <formula>G18="R/C"</formula>
    </cfRule>
  </conditionalFormatting>
  <conditionalFormatting sqref="J18">
    <cfRule type="expression" priority="13" dxfId="1">
      <formula>J18="R/C"</formula>
    </cfRule>
  </conditionalFormatting>
  <conditionalFormatting sqref="M18">
    <cfRule type="expression" priority="14" dxfId="1">
      <formula>M18="R/C"</formula>
    </cfRule>
  </conditionalFormatting>
  <conditionalFormatting sqref="P18">
    <cfRule type="expression" priority="15" dxfId="1">
      <formula>P18="R/C"</formula>
    </cfRule>
  </conditionalFormatting>
  <conditionalFormatting sqref="D20">
    <cfRule type="expression" priority="16" dxfId="1">
      <formula>D20="R/C"</formula>
    </cfRule>
  </conditionalFormatting>
  <conditionalFormatting sqref="G20">
    <cfRule type="expression" priority="17" dxfId="1">
      <formula>G20="R/C"</formula>
    </cfRule>
  </conditionalFormatting>
  <conditionalFormatting sqref="J20">
    <cfRule type="expression" priority="18" dxfId="1">
      <formula>J20="R/C"</formula>
    </cfRule>
  </conditionalFormatting>
  <conditionalFormatting sqref="M20">
    <cfRule type="expression" priority="19" dxfId="1">
      <formula>M20="R/C"</formula>
    </cfRule>
  </conditionalFormatting>
  <conditionalFormatting sqref="P20">
    <cfRule type="expression" priority="20" dxfId="1">
      <formula>P20="R/C"</formula>
    </cfRule>
  </conditionalFormatting>
  <conditionalFormatting sqref="D22">
    <cfRule type="expression" priority="21" dxfId="1">
      <formula>D22="R/C"</formula>
    </cfRule>
  </conditionalFormatting>
  <conditionalFormatting sqref="G22">
    <cfRule type="expression" priority="22" dxfId="1">
      <formula>G22="R/C"</formula>
    </cfRule>
  </conditionalFormatting>
  <conditionalFormatting sqref="J22">
    <cfRule type="expression" priority="23" dxfId="1">
      <formula>J22="R/C"</formula>
    </cfRule>
  </conditionalFormatting>
  <conditionalFormatting sqref="M22">
    <cfRule type="expression" priority="24" dxfId="1">
      <formula>M22="R/C"</formula>
    </cfRule>
  </conditionalFormatting>
  <conditionalFormatting sqref="P22">
    <cfRule type="expression" priority="25" dxfId="1">
      <formula>P22="R/C"</formula>
    </cfRule>
  </conditionalFormatting>
  <conditionalFormatting sqref="D24">
    <cfRule type="expression" priority="26" dxfId="1">
      <formula>D24="R/C"</formula>
    </cfRule>
  </conditionalFormatting>
  <conditionalFormatting sqref="G24">
    <cfRule type="expression" priority="27" dxfId="1">
      <formula>G24="R/C"</formula>
    </cfRule>
  </conditionalFormatting>
  <conditionalFormatting sqref="J24">
    <cfRule type="expression" priority="28" dxfId="1">
      <formula>J24="R/C"</formula>
    </cfRule>
  </conditionalFormatting>
  <conditionalFormatting sqref="M24">
    <cfRule type="expression" priority="29" dxfId="1">
      <formula>M24="R/C"</formula>
    </cfRule>
  </conditionalFormatting>
  <conditionalFormatting sqref="P24">
    <cfRule type="expression" priority="30" dxfId="1">
      <formula>P24="R/C"</formula>
    </cfRule>
  </conditionalFormatting>
  <conditionalFormatting sqref="D26">
    <cfRule type="expression" priority="31" dxfId="1">
      <formula>D26="R/C"</formula>
    </cfRule>
  </conditionalFormatting>
  <conditionalFormatting sqref="G26">
    <cfRule type="expression" priority="32" dxfId="1">
      <formula>G26="R/C"</formula>
    </cfRule>
  </conditionalFormatting>
  <conditionalFormatting sqref="J26">
    <cfRule type="expression" priority="33" dxfId="1">
      <formula>J26="R/C"</formula>
    </cfRule>
  </conditionalFormatting>
  <conditionalFormatting sqref="M26">
    <cfRule type="expression" priority="34" dxfId="1">
      <formula>M26="R/C"</formula>
    </cfRule>
  </conditionalFormatting>
  <conditionalFormatting sqref="P26">
    <cfRule type="expression" priority="35" dxfId="1">
      <formula>P26="R/C"</formula>
    </cfRule>
  </conditionalFormatting>
  <conditionalFormatting sqref="D28">
    <cfRule type="expression" priority="36" dxfId="1">
      <formula>D28="R/C"</formula>
    </cfRule>
  </conditionalFormatting>
  <conditionalFormatting sqref="G28">
    <cfRule type="expression" priority="37" dxfId="1">
      <formula>G28="R/C"</formula>
    </cfRule>
  </conditionalFormatting>
  <conditionalFormatting sqref="J28">
    <cfRule type="expression" priority="38" dxfId="1">
      <formula>J28="R/C"</formula>
    </cfRule>
  </conditionalFormatting>
  <conditionalFormatting sqref="M28">
    <cfRule type="expression" priority="39" dxfId="1">
      <formula>M28="R/C"</formula>
    </cfRule>
  </conditionalFormatting>
  <conditionalFormatting sqref="P28">
    <cfRule type="expression" priority="40" dxfId="1">
      <formula>P28="R/C"</formula>
    </cfRule>
  </conditionalFormatting>
  <conditionalFormatting sqref="D30">
    <cfRule type="expression" priority="41" dxfId="1">
      <formula>D30="R/C"</formula>
    </cfRule>
  </conditionalFormatting>
  <conditionalFormatting sqref="G30">
    <cfRule type="expression" priority="42" dxfId="1">
      <formula>G30="R/C"</formula>
    </cfRule>
  </conditionalFormatting>
  <conditionalFormatting sqref="J30">
    <cfRule type="expression" priority="43" dxfId="1">
      <formula>J30="R/C"</formula>
    </cfRule>
  </conditionalFormatting>
  <conditionalFormatting sqref="M30">
    <cfRule type="expression" priority="44" dxfId="1">
      <formula>M30="R/C"</formula>
    </cfRule>
  </conditionalFormatting>
  <conditionalFormatting sqref="P30">
    <cfRule type="expression" priority="45" dxfId="1">
      <formula>P30="R/C"</formula>
    </cfRule>
  </conditionalFormatting>
  <conditionalFormatting sqref="D32">
    <cfRule type="expression" priority="46" dxfId="1">
      <formula>D32="R/C"</formula>
    </cfRule>
  </conditionalFormatting>
  <conditionalFormatting sqref="G32">
    <cfRule type="expression" priority="47" dxfId="1">
      <formula>G32="R/C"</formula>
    </cfRule>
  </conditionalFormatting>
  <conditionalFormatting sqref="J32">
    <cfRule type="expression" priority="48" dxfId="1">
      <formula>J32="R/C"</formula>
    </cfRule>
  </conditionalFormatting>
  <conditionalFormatting sqref="M32">
    <cfRule type="expression" priority="49" dxfId="1">
      <formula>M32="R/C"</formula>
    </cfRule>
  </conditionalFormatting>
  <conditionalFormatting sqref="P32">
    <cfRule type="expression" priority="50" dxfId="1">
      <formula>P32="R/C"</formula>
    </cfRule>
  </conditionalFormatting>
  <conditionalFormatting sqref="D34">
    <cfRule type="expression" priority="51" dxfId="1">
      <formula>D34="R/C"</formula>
    </cfRule>
  </conditionalFormatting>
  <conditionalFormatting sqref="G34">
    <cfRule type="expression" priority="52" dxfId="1">
      <formula>G34="R/C"</formula>
    </cfRule>
  </conditionalFormatting>
  <conditionalFormatting sqref="J34">
    <cfRule type="expression" priority="53" dxfId="1">
      <formula>J34="R/C"</formula>
    </cfRule>
  </conditionalFormatting>
  <conditionalFormatting sqref="M34">
    <cfRule type="expression" priority="54" dxfId="1">
      <formula>M34="R/C"</formula>
    </cfRule>
  </conditionalFormatting>
  <conditionalFormatting sqref="P34">
    <cfRule type="expression" priority="55" dxfId="1">
      <formula>P34="R/C"</formula>
    </cfRule>
  </conditionalFormatting>
  <conditionalFormatting sqref="D36">
    <cfRule type="expression" priority="56" dxfId="1">
      <formula>D36="R/C"</formula>
    </cfRule>
  </conditionalFormatting>
  <conditionalFormatting sqref="G36">
    <cfRule type="expression" priority="57" dxfId="1">
      <formula>G36="R/C"</formula>
    </cfRule>
  </conditionalFormatting>
  <conditionalFormatting sqref="J36">
    <cfRule type="expression" priority="58" dxfId="1">
      <formula>J36="R/C"</formula>
    </cfRule>
  </conditionalFormatting>
  <conditionalFormatting sqref="M36">
    <cfRule type="expression" priority="59" dxfId="1">
      <formula>M36="R/C"</formula>
    </cfRule>
  </conditionalFormatting>
  <conditionalFormatting sqref="P36">
    <cfRule type="expression" priority="60" dxfId="1">
      <formula>P36="R/C"</formula>
    </cfRule>
  </conditionalFormatting>
  <conditionalFormatting sqref="D38">
    <cfRule type="expression" priority="61" dxfId="1">
      <formula>D38="R/C"</formula>
    </cfRule>
  </conditionalFormatting>
  <conditionalFormatting sqref="G38">
    <cfRule type="expression" priority="62" dxfId="1">
      <formula>G38="R/C"</formula>
    </cfRule>
  </conditionalFormatting>
  <conditionalFormatting sqref="J38">
    <cfRule type="expression" priority="63" dxfId="1">
      <formula>J38="R/C"</formula>
    </cfRule>
  </conditionalFormatting>
  <conditionalFormatting sqref="M38">
    <cfRule type="expression" priority="64" dxfId="1">
      <formula>M38="R/C"</formula>
    </cfRule>
  </conditionalFormatting>
  <conditionalFormatting sqref="P38">
    <cfRule type="expression" priority="65" dxfId="1">
      <formula>P38="R/C"</formula>
    </cfRule>
  </conditionalFormatting>
  <conditionalFormatting sqref="D40">
    <cfRule type="expression" priority="66" dxfId="1">
      <formula>D40="R/C"</formula>
    </cfRule>
  </conditionalFormatting>
  <conditionalFormatting sqref="G40">
    <cfRule type="expression" priority="67" dxfId="1">
      <formula>G40="R/C"</formula>
    </cfRule>
  </conditionalFormatting>
  <conditionalFormatting sqref="J40">
    <cfRule type="expression" priority="68" dxfId="1">
      <formula>J40="R/C"</formula>
    </cfRule>
  </conditionalFormatting>
  <conditionalFormatting sqref="M40">
    <cfRule type="expression" priority="69" dxfId="1">
      <formula>M40="R/C"</formula>
    </cfRule>
  </conditionalFormatting>
  <conditionalFormatting sqref="P40">
    <cfRule type="expression" priority="70" dxfId="1">
      <formula>P40="R/C"</formula>
    </cfRule>
  </conditionalFormatting>
  <conditionalFormatting sqref="D42">
    <cfRule type="expression" priority="71" dxfId="1">
      <formula>D42="R/C"</formula>
    </cfRule>
  </conditionalFormatting>
  <conditionalFormatting sqref="G42">
    <cfRule type="expression" priority="72" dxfId="1">
      <formula>G42="R/C"</formula>
    </cfRule>
  </conditionalFormatting>
  <conditionalFormatting sqref="J42">
    <cfRule type="expression" priority="73" dxfId="1">
      <formula>J42="R/C"</formula>
    </cfRule>
  </conditionalFormatting>
  <conditionalFormatting sqref="M42">
    <cfRule type="expression" priority="74" dxfId="1">
      <formula>M42="R/C"</formula>
    </cfRule>
  </conditionalFormatting>
  <conditionalFormatting sqref="P42">
    <cfRule type="expression" priority="75" dxfId="1">
      <formula>P42="R/C"</formula>
    </cfRule>
  </conditionalFormatting>
  <dataValidations count="16">
    <dataValidation sqref="D10" showDropDown="0" showInputMessage="0" showErrorMessage="1" allowBlank="1" errorTitle="Invalid duration" error="Enter a whole number of days between 0 and 14." type="whole" errorStyle="stop" operator="between">
      <formula1>0</formula1>
      <formula2>14</formula2>
    </dataValidation>
    <dataValidation sqref="C13" showDropDown="0" showInputMessage="0" showErrorMessage="0" allowBlank="1" promptTitle="Frequency" prompt="Amoxyclav/Doxycycline/Meloxicam auto-fill this. For 'Other' or to override, pick SID or BID here - the circles below will follow whatever you pick." type="list">
      <formula1>"Freq: SID,Freq: BID"</formula1>
    </dataValidation>
    <dataValidation sqref="G10" showDropDown="0" showInputMessage="0" showErrorMessage="1" allowBlank="1" errorTitle="Invalid duration" error="Enter a whole number of days between 0 and 14." type="whole" errorStyle="stop" operator="between">
      <formula1>0</formula1>
      <formula2>14</formula2>
    </dataValidation>
    <dataValidation sqref="F13" showDropDown="0" showInputMessage="0" showErrorMessage="0" allowBlank="1" promptTitle="Frequency" prompt="Amoxyclav/Doxycycline/Meloxicam auto-fill this. For 'Other' or to override, pick SID or BID here - the circles below will follow whatever you pick." type="list">
      <formula1>"Freq: SID,Freq: BID"</formula1>
    </dataValidation>
    <dataValidation sqref="J10" showDropDown="0" showInputMessage="0" showErrorMessage="1" allowBlank="1" errorTitle="Invalid duration" error="Enter a whole number of days between 0 and 14." type="whole" errorStyle="stop" operator="between">
      <formula1>0</formula1>
      <formula2>14</formula2>
    </dataValidation>
    <dataValidation sqref="I13" showDropDown="0" showInputMessage="0" showErrorMessage="0" allowBlank="1" promptTitle="Frequency" prompt="Amoxyclav/Doxycycline/Meloxicam auto-fill this. For 'Other' or to override, pick SID or BID here - the circles below will follow whatever you pick." type="list">
      <formula1>"Freq: SID,Freq: BID"</formula1>
    </dataValidation>
    <dataValidation sqref="M10" showDropDown="0" showInputMessage="0" showErrorMessage="1" allowBlank="1" errorTitle="Invalid duration" error="Enter a whole number of days between 0 and 14." type="whole" errorStyle="stop" operator="between">
      <formula1>0</formula1>
      <formula2>14</formula2>
    </dataValidation>
    <dataValidation sqref="L13" showDropDown="0" showInputMessage="0" showErrorMessage="0" allowBlank="1" promptTitle="Frequency" prompt="Amoxyclav/Doxycycline/Meloxicam auto-fill this. For 'Other' or to override, pick SID or BID here - the circles below will follow whatever you pick." type="list">
      <formula1>"Freq: SID,Freq: BID"</formula1>
    </dataValidation>
    <dataValidation sqref="P10" showDropDown="0" showInputMessage="0" showErrorMessage="1" allowBlank="1" errorTitle="Invalid duration" error="Enter a whole number of days between 0 and 14." type="whole" errorStyle="stop" operator="between">
      <formula1>0</formula1>
      <formula2>14</formula2>
    </dataValidation>
    <dataValidation sqref="O13" showDropDown="0" showInputMessage="0" showErrorMessage="0" allowBlank="1" promptTitle="Frequency" prompt="Amoxyclav/Doxycycline/Meloxicam auto-fill this. For 'Other' or to override, pick SID or BID here - the circles below will follow whatever you pick." type="list">
      <formula1>"Freq: SID,Freq: BID"</formula1>
    </dataValidation>
    <dataValidation sqref="B8" showDropDown="0" showInputMessage="0" showErrorMessage="1" allowBlank="1" errorTitle="Invalid weight" error="Enter a number greater than 0." type="decimal" operator="greaterThan">
      <formula1>0</formula1>
    </dataValidation>
    <dataValidation sqref="C9" showDropDown="0" showInputMessage="0" showErrorMessage="0" allowBlank="1" type="list">
      <formula1>=$Y$1:$Y$23</formula1>
    </dataValidation>
    <dataValidation sqref="F9" showDropDown="0" showInputMessage="0" showErrorMessage="0" allowBlank="1" type="list">
      <formula1>=$Y$1:$Y$23</formula1>
    </dataValidation>
    <dataValidation sqref="I9" showDropDown="0" showInputMessage="0" showErrorMessage="0" allowBlank="1" type="list">
      <formula1>=$Y$1:$Y$23</formula1>
    </dataValidation>
    <dataValidation sqref="L9" showDropDown="0" showInputMessage="0" showErrorMessage="0" allowBlank="1" type="list">
      <formula1>=$Y$1:$Y$23</formula1>
    </dataValidation>
    <dataValidation sqref="O9" showDropDown="0" showInputMessage="0" showErrorMessage="0" allowBlank="1" type="list">
      <formula1>=$Y$1:$Y$23</formula1>
    </dataValidation>
  </dataValidations>
  <pageMargins left="0.25" right="0.25" top="0.25" bottom="0.25" header="0" footer="0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2026-08-17T07:35:14Z</dcterms:created>
  <dcterms:modified xmlns:dcterms="http://purl.org/dc/terms/" xmlns:xsi="http://www.w3.org/2001/XMLSchema-instance" xsi:type="dcterms:W3CDTF">2026-09-30T07:56:57Z</dcterms:modified>
</cp:coreProperties>
</file>